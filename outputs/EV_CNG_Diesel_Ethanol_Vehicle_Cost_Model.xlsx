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README" sheetId="1" state="visible" r:id="rId3"/>
    <sheet name="Assumptions" sheetId="2" state="visible" r:id="rId4"/>
    <sheet name="Cities" sheetId="3" state="visible" r:id="rId5"/>
    <sheet name="CostPerKm" sheetId="4" state="visible" r:id="rId6"/>
    <sheet name="EthanolImpact" sheetId="5" state="visible" r:id="rId7"/>
    <sheet name="TCO_Scenarios" sheetId="6" state="visible" r:id="rId8"/>
    <sheet name="TaxStructure" sheetId="7" state="visible" r:id="rId9"/>
    <sheet name="FleetSales" sheetId="8" state="visible" r:id="rId10"/>
    <sheet name="OMC_PriceBoard" sheetId="9" state="visible" r:id="rId11"/>
    <sheet name="ExchequerRevenue" sheetId="10" state="visible" r:id="rId12"/>
    <sheet name="Checks" sheetId="11" state="visible" r:id="rId1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<sst xmlns="http://schemas.openxmlformats.org/spreadsheetml/2006/main" count="626" uniqueCount="362">
  <si>
    <t xml:space="preserve">EV vs CNG vs Diesel vs Ethanol-Petrol — India Vehicle Cost Model (July 2026)</t>
  </si>
  <si>
    <t xml:space="preserve">HOW TO USE</t>
  </si>
  <si>
    <t xml:space="preserve">1. Assumptions tab: pick your city (yellow cell) and edit blue inputs/yellow levers (E20 drop, usage km, charging mix). The whole model reprices.</t>
  </si>
  <si>
    <t xml:space="preserve">2. Cities tab: petrol/diesel/CNG/electricity and state VAT for 6 metros, plus cost per km by city.</t>
  </si>
  <si>
    <t xml:space="preserve">3. CostPerKm: running cost per km by vehicle &amp; powertrain for the selected city (petrol includes the E20 penalty).</t>
  </si>
  <si>
    <t xml:space="preserve">4. EthanolImpact: what ethanol blending costs a petrol owner.</t>
  </si>
  <si>
    <t xml:space="preserve">5. TCO_Scenarios: fuel + maintenance + premium and payback across Low/Average/High usage.</t>
  </si>
  <si>
    <t xml:space="preserve">6. TaxStructure: why petrol/diesel are taxed by BOTH centre and state, while ethanol carries only 5% GST (federal).</t>
  </si>
  <si>
    <t xml:space="preserve">7. Checks: 13 automated consistency checks (should all read PASS).</t>
  </si>
  <si>
    <t xml:space="preserve">COLOUR LEGEND</t>
  </si>
  <si>
    <t xml:space="preserve">Blue = editable input. Yellow = key lever. Green = pulled from another sheet. Black = calculated.</t>
  </si>
  <si>
    <t xml:space="preserve">KEY FINDINGS</t>
  </si>
  <si>
    <t xml:space="preserve">Running cost ranking (per km) is consistent: EV cheapest, CNG next, diesel, then E20 petrol dearest. Ethanol (E20) trims petrol mileage 2-6% (ARAI/SIAM); no engine failure in compatible vehicles.</t>
  </si>
  <si>
    <t xml:space="preserve">Prices vary sharply by city (petrol Rs 102 Delhi to Rs 116 Hyderabad) mainly because of differing STATE VAT; central excise is uniform.</t>
  </si>
  <si>
    <t xml:space="preserve">Mileage calibration: model real-world figures sit ~12-21% below ARAI/SIAM BS-VI certified declarations (hatch 20.3 certified vs 16 model; CNG 27.4 vs 28; 2W 50.7 vs 55) — conservative and consistent. FADA retail and SIAM wholesale FY26 volumes agree within ~2% for PV/2W/CV.</t>
  </si>
  <si>
    <t xml:space="preserve">SOURCES</t>
  </si>
  <si>
    <t xml:space="preserve">Prices: PPAC-basis city rates, July 2026 (HDFCSky/Goodreturns compilations). Tax: ClearTax, Business Standard. Ethanol/mileage: ARAI, SIAM, Autocar India. CNG bike: BikeDekho.</t>
  </si>
  <si>
    <t xml:space="preserve">DISCLAIMER</t>
  </si>
  <si>
    <t xml:space="preserve">Representative estimates for comparison, not quotes. VAT rates are indicative; states add cesses. Verify local prices before purchase.</t>
  </si>
  <si>
    <t xml:space="preserve">ASSUMPTIONS &amp; INPUT LEVERS</t>
  </si>
  <si>
    <t xml:space="preserve">Blue = editable input. Yellow = key lever. Green = pulled from another sheet. Pick a city and the whole model reprices.</t>
  </si>
  <si>
    <t xml:space="preserve">1. Location — pick your city</t>
  </si>
  <si>
    <t xml:space="preserve">Item</t>
  </si>
  <si>
    <t xml:space="preserve">Value</t>
  </si>
  <si>
    <t xml:space="preserve">Unit</t>
  </si>
  <si>
    <t xml:space="preserve">Source / Note</t>
  </si>
  <si>
    <t xml:space="preserve">Selected city</t>
  </si>
  <si>
    <t xml:space="preserve">Delhi</t>
  </si>
  <si>
    <t xml:space="preserve">name</t>
  </si>
  <si>
    <t xml:space="preserve">LEVER: type a city listed on the Cities tab</t>
  </si>
  <si>
    <t xml:space="preserve">Petrol price (E20 pump)</t>
  </si>
  <si>
    <t xml:space="preserve">Rs/litre</t>
  </si>
  <si>
    <t xml:space="preserve">Auto from Cities tab (PPAC July 2026)</t>
  </si>
  <si>
    <t xml:space="preserve">Diesel price</t>
  </si>
  <si>
    <t xml:space="preserve">Auto from Cities tab</t>
  </si>
  <si>
    <t xml:space="preserve">CNG price</t>
  </si>
  <si>
    <t xml:space="preserve">Rs/kg</t>
  </si>
  <si>
    <t xml:space="preserve">Electricity - home</t>
  </si>
  <si>
    <t xml:space="preserve">Rs/kWh</t>
  </si>
  <si>
    <t xml:space="preserve">Auto from Cities tab (indicative domestic slab)</t>
  </si>
  <si>
    <t xml:space="preserve">2. EV charging &amp; ethanol</t>
  </si>
  <si>
    <t xml:space="preserve">Electricity - public DC fast</t>
  </si>
  <si>
    <t xml:space="preserve">Midpoint of Rs 18-24 (2026)</t>
  </si>
  <si>
    <t xml:space="preserve">Share of home charging</t>
  </si>
  <si>
    <t xml:space="preserve">% kWh</t>
  </si>
  <si>
    <t xml:space="preserve">Typical private EV owner</t>
  </si>
  <si>
    <t xml:space="preserve">Blended EV electricity price</t>
  </si>
  <si>
    <t xml:space="preserve">Weighted home + public</t>
  </si>
  <si>
    <t xml:space="preserve">E10 mileage drop</t>
  </si>
  <si>
    <t xml:space="preserve">% loss</t>
  </si>
  <si>
    <t xml:space="preserve">~2% baseline (ARAI/SIAM)</t>
  </si>
  <si>
    <t xml:space="preserve">E20 mileage drop (SELECTED)</t>
  </si>
  <si>
    <t xml:space="preserve">LEVER: SIAM 2-4%, ARAI 2-6%; older cars up to ~12%</t>
  </si>
  <si>
    <t xml:space="preserve">3. Baseline real-world mileage (per energy unit)</t>
  </si>
  <si>
    <t xml:space="preserve">Vehicle type</t>
  </si>
  <si>
    <t xml:space="preserve">Petrol km/L (E0)</t>
  </si>
  <si>
    <t xml:space="preserve">Diesel km/L</t>
  </si>
  <si>
    <t xml:space="preserve">CNG km/kg</t>
  </si>
  <si>
    <t xml:space="preserve">EV km/kWh</t>
  </si>
  <si>
    <t xml:space="preserve">Two-wheeler</t>
  </si>
  <si>
    <t xml:space="preserve">n/a</t>
  </si>
  <si>
    <t xml:space="preserve">Petrol commuter; CNG=Bajaj Freedom 125</t>
  </si>
  <si>
    <t xml:space="preserve">Hatchback</t>
  </si>
  <si>
    <t xml:space="preserve">Swift/WagonR class</t>
  </si>
  <si>
    <t xml:space="preserve">Sedan</t>
  </si>
  <si>
    <t xml:space="preserve">Dzire/Verna class</t>
  </si>
  <si>
    <t xml:space="preserve">Compact SUV</t>
  </si>
  <si>
    <t xml:space="preserve">Nexon/Brezza class</t>
  </si>
  <si>
    <t xml:space="preserve">4. Vehicle prices &amp; powertrain premium (on-road, Rs)</t>
  </si>
  <si>
    <t xml:space="preserve">Petrol base</t>
  </si>
  <si>
    <t xml:space="preserve">Diesel premium</t>
  </si>
  <si>
    <t xml:space="preserve">CNG premium</t>
  </si>
  <si>
    <t xml:space="preserve">EV premium</t>
  </si>
  <si>
    <t xml:space="preserve">5. Annual maintenance (Rs/year)</t>
  </si>
  <si>
    <t xml:space="preserve">Two-wheeler - petrol</t>
  </si>
  <si>
    <t xml:space="preserve">Rs/yr</t>
  </si>
  <si>
    <t xml:space="preserve">Indicative</t>
  </si>
  <si>
    <t xml:space="preserve">Two-wheeler - CNG</t>
  </si>
  <si>
    <t xml:space="preserve">CNG system upkeep</t>
  </si>
  <si>
    <t xml:space="preserve">Two-wheeler - EV</t>
  </si>
  <si>
    <t xml:space="preserve">Fewer parts</t>
  </si>
  <si>
    <t xml:space="preserve">Car - petrol</t>
  </si>
  <si>
    <t xml:space="preserve">Car - diesel</t>
  </si>
  <si>
    <t xml:space="preserve">Higher service cost</t>
  </si>
  <si>
    <t xml:space="preserve">Car - CNG</t>
  </si>
  <si>
    <t xml:space="preserve">Filters, cylinder test</t>
  </si>
  <si>
    <t xml:space="preserve">Car - EV</t>
  </si>
  <si>
    <t xml:space="preserve">Lower service needs</t>
  </si>
  <si>
    <t xml:space="preserve">6. Usage scenarios &amp; horizon</t>
  </si>
  <si>
    <t xml:space="preserve">Low usage</t>
  </si>
  <si>
    <t xml:space="preserve">km/yr</t>
  </si>
  <si>
    <t xml:space="preserve">~22 km/day</t>
  </si>
  <si>
    <t xml:space="preserve">Average usage</t>
  </si>
  <si>
    <t xml:space="preserve">~41 km/day</t>
  </si>
  <si>
    <t xml:space="preserve">High usage</t>
  </si>
  <si>
    <t xml:space="preserve">~68 km/day</t>
  </si>
  <si>
    <t xml:space="preserve">Ownership horizon</t>
  </si>
  <si>
    <t xml:space="preserve">years</t>
  </si>
  <si>
    <t xml:space="preserve">For TCO</t>
  </si>
  <si>
    <t xml:space="preserve">CITY FUEL PRICES (PPAC basis, July 2026) &amp; COST PER KM</t>
  </si>
  <si>
    <t xml:space="preserve">Blue = editable price/tax input. Green = cost per km computed from Assumptions mileages. Petrol/km reflects the selected E20 drop.</t>
  </si>
  <si>
    <t xml:space="preserve">City</t>
  </si>
  <si>
    <t xml:space="preserve">Petrol Rs/L</t>
  </si>
  <si>
    <t xml:space="preserve">Diesel Rs/L</t>
  </si>
  <si>
    <t xml:space="preserve">CNG Rs/kg</t>
  </si>
  <si>
    <t xml:space="preserve">Elec home Rs/kWh</t>
  </si>
  <si>
    <t xml:space="preserve">Petrol VAT %</t>
  </si>
  <si>
    <t xml:space="preserve">Diesel VAT %</t>
  </si>
  <si>
    <t xml:space="preserve">Petrol/km (hatch)</t>
  </si>
  <si>
    <t xml:space="preserve">Diesel/km (SUV)</t>
  </si>
  <si>
    <t xml:space="preserve">CNG/km (hatch)</t>
  </si>
  <si>
    <t xml:space="preserve">EV/km (hatch)</t>
  </si>
  <si>
    <t xml:space="preserve">Mumbai</t>
  </si>
  <si>
    <t xml:space="preserve">Kolkata</t>
  </si>
  <si>
    <t xml:space="preserve">Chennai</t>
  </si>
  <si>
    <t xml:space="preserve">Bengaluru</t>
  </si>
  <si>
    <t xml:space="preserve">Hyderabad</t>
  </si>
  <si>
    <t xml:space="preserve">VAT rates are indicative effective rates; several states add fixed per-litre cesses, so exact retail may differ slightly. Central excise (federal) is uniform: Rs 13/L petrol, Rs 10/L diesel.</t>
  </si>
  <si>
    <t xml:space="preserve">RUNNING COST PER KILOMETRE (selected city)</t>
  </si>
  <si>
    <t xml:space="preserve">Petrol reflects the selected E20 mileage drop. Green = pulled from Assumptions.</t>
  </si>
  <si>
    <t xml:space="preserve">Powertrain</t>
  </si>
  <si>
    <t xml:space="preserve">Baseline mileage</t>
  </si>
  <si>
    <t xml:space="preserve">Effective mileage</t>
  </si>
  <si>
    <t xml:space="preserve">Fuel/energy price</t>
  </si>
  <si>
    <t xml:space="preserve">Cost per km (Rs)</t>
  </si>
  <si>
    <t xml:space="preserve">Petrol</t>
  </si>
  <si>
    <t xml:space="preserve">km/L</t>
  </si>
  <si>
    <t xml:space="preserve">CNG</t>
  </si>
  <si>
    <t xml:space="preserve">km/kg</t>
  </si>
  <si>
    <t xml:space="preserve">EV</t>
  </si>
  <si>
    <t xml:space="preserve">km/kWh</t>
  </si>
  <si>
    <t xml:space="preserve">Diesel</t>
  </si>
  <si>
    <t xml:space="preserve">ETHANOL BLENDING: WHAT IT COSTS A PETROL OWNER</t>
  </si>
  <si>
    <t xml:space="preserve">E10/E20 vs pure petrol (E0). Rs/yr at Average usage, selected-city petrol price.</t>
  </si>
  <si>
    <t xml:space="preserve">Vehicle</t>
  </si>
  <si>
    <t xml:space="preserve">E0 km/L</t>
  </si>
  <si>
    <t xml:space="preserve">E10 km/L</t>
  </si>
  <si>
    <t xml:space="preserve">E20 km/L</t>
  </si>
  <si>
    <t xml:space="preserve">E0 cost/km</t>
  </si>
  <si>
    <t xml:space="preserve">E20 cost/km</t>
  </si>
  <si>
    <t xml:space="preserve">Extra Rs/km</t>
  </si>
  <si>
    <t xml:space="preserve">Extra Rs/yr (avg)</t>
  </si>
  <si>
    <t xml:space="preserve">TOTAL COST OF OWNERSHIP BY USAGE SCENARIO (selected city)</t>
  </si>
  <si>
    <t xml:space="preserve">Fuel + maintenance over the horizon, plus upfront premium vs petrol. Payback = years for savings to repay the premium.</t>
  </si>
  <si>
    <t xml:space="preserve">Scenario</t>
  </si>
  <si>
    <t xml:space="preserve">Annual km</t>
  </si>
  <si>
    <t xml:space="preserve">Cost/km</t>
  </si>
  <si>
    <t xml:space="preserve">Annual fuel</t>
  </si>
  <si>
    <t xml:space="preserve">Annual maint</t>
  </si>
  <si>
    <t xml:space="preserve">Annual total</t>
  </si>
  <si>
    <t xml:space="preserve">Premium vs petrol</t>
  </si>
  <si>
    <t xml:space="preserve">TCO horizon</t>
  </si>
  <si>
    <t xml:space="preserve">Saving/yr vs petrol</t>
  </si>
  <si>
    <t xml:space="preserve">Payback yrs</t>
  </si>
  <si>
    <t xml:space="preserve">Low</t>
  </si>
  <si>
    <t xml:space="preserve">Average</t>
  </si>
  <si>
    <t xml:space="preserve">High</t>
  </si>
  <si>
    <t xml:space="preserve">FUEL TAX STRUCTURE: WHY PETROL IS TAXED TWICE AND ETHANOL ONCE</t>
  </si>
  <si>
    <t xml:space="preserve">The key point</t>
  </si>
  <si>
    <t xml:space="preserve">Petrol and diesel are kept OUTSIDE GST. They bear TWO layers of tax: a central (federal) excise duty — a fixed Rs 13/L on petrol and Rs 10/L on diesel — PLUS a state VAT/sales tax that varies widely by state. Ethanol supplied for blending is INSIDE GST and attracts only 5% GST — a single, federally-set levy, with no separate state VAT on the ethanol molecule.</t>
  </si>
  <si>
    <t xml:space="preserve">So the ~20% ethanol in E20 escapes the heavy dual petroleum taxation and is taxed lightly and only federally. That lowers the tax the exchequer collects on the ethanol share, but because E20 sells at the same pump price as before, the benefit is retained in the price build-up rather than rebated to the buyer — and it shifts revenue away from state VAT toward the federally-controlled GST/excise base, one reason states have been wary.</t>
  </si>
  <si>
    <t xml:space="preserve">Worked example — petrol price build-up for the selected city</t>
  </si>
  <si>
    <t xml:space="preserve">Component</t>
  </si>
  <si>
    <t xml:space="preserve">Rs/L</t>
  </si>
  <si>
    <t xml:space="preserve">Levied by</t>
  </si>
  <si>
    <t xml:space="preserve">Retail pump price (E20)</t>
  </si>
  <si>
    <t xml:space="preserve">—</t>
  </si>
  <si>
    <t xml:space="preserve">Central excise duty</t>
  </si>
  <si>
    <t xml:space="preserve">CENTRE (federal)</t>
  </si>
  <si>
    <t xml:space="preserve">Dealer commission</t>
  </si>
  <si>
    <t xml:space="preserve">State VAT</t>
  </si>
  <si>
    <t xml:space="preserve">STATE</t>
  </si>
  <si>
    <t xml:space="preserve">Base + freight (implied)</t>
  </si>
  <si>
    <t xml:space="preserve">refiner/OMC</t>
  </si>
  <si>
    <t xml:space="preserve">Total tax (central + state)</t>
  </si>
  <si>
    <t xml:space="preserve">Tax as % of pump price</t>
  </si>
  <si>
    <t xml:space="preserve">State VAT is derived from the selected city's effective rate; base+freight is the residual. Excise Rs 13/L and dealer Rs 3.77/L are current central/indicative figures.</t>
  </si>
  <si>
    <t xml:space="preserve">Petrol vs ethanol — who taxes what</t>
  </si>
  <si>
    <t xml:space="preserve">Fuel</t>
  </si>
  <si>
    <t xml:space="preserve">Central levy</t>
  </si>
  <si>
    <t xml:space="preserve">State levy</t>
  </si>
  <si>
    <t xml:space="preserve">Net</t>
  </si>
  <si>
    <t xml:space="preserve">Petrol / Diesel</t>
  </si>
  <si>
    <t xml:space="preserve">Excise Rs 13 / Rs 10 per L</t>
  </si>
  <si>
    <t xml:space="preserve">VAT 14%-35% (varies)</t>
  </si>
  <si>
    <t xml:space="preserve">Dual: central + state</t>
  </si>
  <si>
    <t xml:space="preserve">Ethanol (for blending)</t>
  </si>
  <si>
    <t xml:space="preserve">5% GST</t>
  </si>
  <si>
    <t xml:space="preserve">None (outside state VAT)</t>
  </si>
  <si>
    <t xml:space="preserve">Single: federal only</t>
  </si>
  <si>
    <t xml:space="preserve">MATCHING THE MODEL TO THE MARKET — VAHAN FLEET &amp; FADA SALES (FY26)</t>
  </si>
  <si>
    <t xml:space="preserve">Do buyers behave as the value math predicts? FADA FY26 retail mix, and the national ethanol-penalty aggregate. Blue = data input. Green = computed.</t>
  </si>
  <si>
    <t xml:space="preserve">A. FADA FY26 retail sales by category</t>
  </si>
  <si>
    <t xml:space="preserve">Category</t>
  </si>
  <si>
    <t xml:space="preserve">Units FY26</t>
  </si>
  <si>
    <t xml:space="preserve">% of total</t>
  </si>
  <si>
    <t xml:space="preserve">EV share in category</t>
  </si>
  <si>
    <t xml:space="preserve">Two-wheelers</t>
  </si>
  <si>
    <t xml:space="preserve">Three-wheelers</t>
  </si>
  <si>
    <t xml:space="preserve">Passenger vehicles</t>
  </si>
  <si>
    <t xml:space="preserve">Commercial vehicles</t>
  </si>
  <si>
    <t xml:space="preserve">Tractors</t>
  </si>
  <si>
    <t xml:space="preserve">Construction equip.</t>
  </si>
  <si>
    <t xml:space="preserve">TOTAL retail</t>
  </si>
  <si>
    <t xml:space="preserve">B. Passenger-vehicle fuel mix (FADA FY26 vs FY25)</t>
  </si>
  <si>
    <t xml:space="preserve">FY26 share</t>
  </si>
  <si>
    <t xml:space="preserve">FY25 share</t>
  </si>
  <si>
    <t xml:space="preserve">Change (pp)</t>
  </si>
  <si>
    <t xml:space="preserve">Electric</t>
  </si>
  <si>
    <t xml:space="preserve">Hybrid / other</t>
  </si>
  <si>
    <t xml:space="preserve">Sum (check ~100%)</t>
  </si>
  <si>
    <t xml:space="preserve">C. Sales-weighted PV running cost (selected city)</t>
  </si>
  <si>
    <t xml:space="preserve">PV share (FY26)</t>
  </si>
  <si>
    <t xml:space="preserve">Car cost/km (Rs)</t>
  </si>
  <si>
    <t xml:space="preserve">Weighted (Rs/km)</t>
  </si>
  <si>
    <t xml:space="preserve">Weighted-avg PV running cost</t>
  </si>
  <si>
    <t xml:space="preserve">Rs/km (petrol+diesel+CNG+EV, normalised)</t>
  </si>
  <si>
    <t xml:space="preserve">D. National ethanol penalty (E20 vs E0) — illustrative aggregate</t>
  </si>
  <si>
    <t xml:space="preserve">Segment</t>
  </si>
  <si>
    <t xml:space="preserve">Petrol vehicles</t>
  </si>
  <si>
    <t xml:space="preserve">Extra Rs/veh/yr</t>
  </si>
  <si>
    <t xml:space="preserve">Total Rs crore/yr</t>
  </si>
  <si>
    <t xml:space="preserve">New petrol PV (FY26 cohort)</t>
  </si>
  <si>
    <t xml:space="preserve">New petrol 2W (FY26 cohort)</t>
  </si>
  <si>
    <t xml:space="preserve">Petrol cars in fleet (parc) — EDIT</t>
  </si>
  <si>
    <t xml:space="preserve">Petrol 2W in fleet (parc) — EDIT</t>
  </si>
  <si>
    <t xml:space="preserve">Fleet ethanol penalty (parc)</t>
  </si>
  <si>
    <t xml:space="preserve">New-vehicle cohort ethanol penalty (PV+2W)</t>
  </si>
  <si>
    <t xml:space="preserve">Parc figures are illustrative editable assumptions (yellow). Rs crore = value/1,00,00,000. New-cohort figures derive from FADA FY26 units.</t>
  </si>
  <si>
    <t xml:space="preserve">E. Source reconciliation — SIAM wholesale vs FADA retail (FY26)</t>
  </si>
  <si>
    <t xml:space="preserve">SIAM wholesale</t>
  </si>
  <si>
    <t xml:space="preserve">FADA retail</t>
  </si>
  <si>
    <t xml:space="preserve">Retail vs wholesale</t>
  </si>
  <si>
    <t xml:space="preserve">SIAM = factory dispatches to dealers; FADA = Vahan retail registrations. Gaps reflect dealer inventory change and coverage (SIAM = member OEMs; FADA/Vahan captures all registrations incl. e-3W &amp; tractors).</t>
  </si>
  <si>
    <t xml:space="preserve">OMC-PUBLISHED FUEL PRICES ACROSS INDIA (IOCL/BPCL/HPCL daily boards, ~July 2026)</t>
  </si>
  <si>
    <t xml:space="preserve">Prices as revised daily by oil marketing companies. Petrol/km &amp; Diesel/km computed from model mileages. Blue = price input; Green = computed.</t>
  </si>
  <si>
    <t xml:space="preserve">State / UT</t>
  </si>
  <si>
    <t xml:space="preserve">Petrol Rs/km (hatch)</t>
  </si>
  <si>
    <t xml:space="preserve">Diesel Rs/km (SUV)</t>
  </si>
  <si>
    <t xml:space="preserve">Petrol vs Delhi (Rs/L)</t>
  </si>
  <si>
    <t xml:space="preserve">Chandigarh</t>
  </si>
  <si>
    <t xml:space="preserve">UT</t>
  </si>
  <si>
    <t xml:space="preserve">Lucknow</t>
  </si>
  <si>
    <t xml:space="preserve">Uttar Pradesh</t>
  </si>
  <si>
    <t xml:space="preserve">Noida</t>
  </si>
  <si>
    <t xml:space="preserve">Gurgaon</t>
  </si>
  <si>
    <t xml:space="preserve">Haryana</t>
  </si>
  <si>
    <t xml:space="preserve">Tamil Nadu</t>
  </si>
  <si>
    <t xml:space="preserve">Bhubaneswar</t>
  </si>
  <si>
    <t xml:space="preserve">Odisha</t>
  </si>
  <si>
    <t xml:space="preserve">Karnataka</t>
  </si>
  <si>
    <t xml:space="preserve">Maharashtra</t>
  </si>
  <si>
    <t xml:space="preserve">Jaipur</t>
  </si>
  <si>
    <t xml:space="preserve">Rajasthan</t>
  </si>
  <si>
    <t xml:space="preserve">West Bengal</t>
  </si>
  <si>
    <t xml:space="preserve">Patna</t>
  </si>
  <si>
    <t xml:space="preserve">Bihar</t>
  </si>
  <si>
    <t xml:space="preserve">Thiruvananthapuram</t>
  </si>
  <si>
    <t xml:space="preserve">Kerala</t>
  </si>
  <si>
    <t xml:space="preserve">Telangana</t>
  </si>
  <si>
    <t xml:space="preserve">Lowest petrol (Rs/L)</t>
  </si>
  <si>
    <t xml:space="preserve">Highest petrol (Rs/L)</t>
  </si>
  <si>
    <t xml:space="preserve">Petrol spread (Rs/L)</t>
  </si>
  <si>
    <t xml:space="preserve">Petrol spread (%)</t>
  </si>
  <si>
    <t xml:space="preserve">Diesel spread (Rs/L)</t>
  </si>
  <si>
    <t xml:space="preserve">Same car, same E20 fuel: running cost swings across states purely on tax. Central excise is uniform; the spread is state VAT.</t>
  </si>
  <si>
    <t xml:space="preserve">EXCHEQUER EARNINGS FROM VEHICLES, VKT &amp; FUEL TAX (PPAC / PIB / MoPNG basis, FY26)</t>
  </si>
  <si>
    <t xml:space="preserve">How growth in vehicles and kilometres feeds tax revenue. Blue = input (edit). Green = computed. All ₹ in lakh crore unless noted.</t>
  </si>
  <si>
    <t xml:space="preserve">A. Fuel consumption (PPAC FY26) → litres</t>
  </si>
  <si>
    <t xml:space="preserve">Petrol (MS) consumption</t>
  </si>
  <si>
    <t xml:space="preserve">MMT</t>
  </si>
  <si>
    <t xml:space="preserve">PPAC FY26 estimate</t>
  </si>
  <si>
    <t xml:space="preserve">Diesel (HSD) consumption</t>
  </si>
  <si>
    <t xml:space="preserve">Petrol density</t>
  </si>
  <si>
    <t xml:space="preserve">kg/L</t>
  </si>
  <si>
    <t xml:space="preserve">Typical</t>
  </si>
  <si>
    <t xml:space="preserve">Diesel density</t>
  </si>
  <si>
    <t xml:space="preserve">Petrol volume</t>
  </si>
  <si>
    <t xml:space="preserve">crore L</t>
  </si>
  <si>
    <t xml:space="preserve">1 MMT = 100/density crore L</t>
  </si>
  <si>
    <t xml:space="preserve">Diesel volume</t>
  </si>
  <si>
    <t xml:space="preserve">B. Recurring fuel-tax revenue (excise + VAT)</t>
  </si>
  <si>
    <t xml:space="preserve">Central excise - petrol</t>
  </si>
  <si>
    <t xml:space="preserve">Uniform, federal</t>
  </si>
  <si>
    <t xml:space="preserve">Central excise - diesel</t>
  </si>
  <si>
    <t xml:space="preserve">State VAT - petrol (national avg)</t>
  </si>
  <si>
    <t xml:space="preserve">Blended est.; states vary 14-35%</t>
  </si>
  <si>
    <t xml:space="preserve">State VAT - diesel (national avg)</t>
  </si>
  <si>
    <t xml:space="preserve">Blended est.</t>
  </si>
  <si>
    <t xml:space="preserve">Central excise revenue</t>
  </si>
  <si>
    <t xml:space="preserve">lakh cr</t>
  </si>
  <si>
    <t xml:space="preserve">Petrol+diesel excise</t>
  </si>
  <si>
    <t xml:space="preserve">State VAT revenue</t>
  </si>
  <si>
    <t xml:space="preserve">Petrol+diesel VAT</t>
  </si>
  <si>
    <t xml:space="preserve">TOTAL recurring fuel tax</t>
  </si>
  <si>
    <t xml:space="preserve">Centre + states</t>
  </si>
  <si>
    <t xml:space="preserve">C. One-time GST + cess on new vehicles (FADA FY26, GST 2.0)</t>
  </si>
  <si>
    <t xml:space="preserve">Two-wheeler avg price</t>
  </si>
  <si>
    <t xml:space="preserve">Rs</t>
  </si>
  <si>
    <t xml:space="preserve">Ex-showroom est.</t>
  </si>
  <si>
    <t xml:space="preserve">Two-wheeler GST rate</t>
  </si>
  <si>
    <t xml:space="preserve">%</t>
  </si>
  <si>
    <t xml:space="preserve">&lt;=350cc slab</t>
  </si>
  <si>
    <t xml:space="preserve">PV avg price</t>
  </si>
  <si>
    <t xml:space="preserve">PV blended GST+cess</t>
  </si>
  <si>
    <t xml:space="preserve">~55% small@18% + 45% large/SUV@40%</t>
  </si>
  <si>
    <t xml:space="preserve">2W new-vehicle GST</t>
  </si>
  <si>
    <t xml:space="preserve">FADA 2W units x price x rate</t>
  </si>
  <si>
    <t xml:space="preserve">PV new-vehicle GST</t>
  </si>
  <si>
    <t xml:space="preserve">FADA PV units x price x rate</t>
  </si>
  <si>
    <t xml:space="preserve">TOTAL new-vehicle GST (2W+PV)</t>
  </si>
  <si>
    <t xml:space="preserve">One-time, on FY26 sales</t>
  </si>
  <si>
    <t xml:space="preserve">D. Additional annual earnings from GROWTH</t>
  </si>
  <si>
    <t xml:space="preserve">Petrol consumption growth</t>
  </si>
  <si>
    <t xml:space="preserve">%/yr</t>
  </si>
  <si>
    <t xml:space="preserve">Rising personal-vehicle use (PPAC)</t>
  </si>
  <si>
    <t xml:space="preserve">Diesel consumption growth</t>
  </si>
  <si>
    <t xml:space="preserve">Freight/industrial (PPAC)</t>
  </si>
  <si>
    <t xml:space="preserve">New-vehicle sales growth</t>
  </si>
  <si>
    <t xml:space="preserve">FADA FY26 +13.3%</t>
  </si>
  <si>
    <t xml:space="preserve">Add'l petrol tax from growth</t>
  </si>
  <si>
    <t xml:space="preserve">Volume growth x petrol tax/L</t>
  </si>
  <si>
    <t xml:space="preserve">Add'l diesel tax from growth</t>
  </si>
  <si>
    <t xml:space="preserve">Add'l vehicle GST from growth</t>
  </si>
  <si>
    <t xml:space="preserve">Sales growth x vehicle-GST base</t>
  </si>
  <si>
    <t xml:space="preserve">TOTAL additional earnings/yr</t>
  </si>
  <si>
    <t xml:space="preserve">From growth alone, rates constant</t>
  </si>
  <si>
    <t xml:space="preserve">E. Emerging erosion — fuel-mix shift (headwind)</t>
  </si>
  <si>
    <t xml:space="preserve">Ethanol share of petrol (E20)</t>
  </si>
  <si>
    <t xml:space="preserve">Blended into every litre</t>
  </si>
  <si>
    <t xml:space="preserve">Tax gap: petrol vs ethanol</t>
  </si>
  <si>
    <t xml:space="preserve">~Rs31 petrol tax vs ~Rs3 on ethanol (5% GST)</t>
  </si>
  <si>
    <t xml:space="preserve">Revenue foregone on ethanol</t>
  </si>
  <si>
    <t xml:space="preserve">Ethanol litres taxed light, not full</t>
  </si>
  <si>
    <t xml:space="preserve">Plus: every EV/CNG sale pays 5% GST (vs 18-40% ICE) and burns no taxed petrol/diesel — a growing structural drag on both streams above.</t>
  </si>
  <si>
    <t xml:space="preserve">Bottom line: vehicle + VKT growth adds ~Rs 0 (see D) to the exchequer each year at constant rates; the EV/CNG/ethanol shift is the offsetting headwind (E). Fuel tax = outside GST (excise+VAT); vehicles &amp; ethanol = inside GST.</t>
  </si>
  <si>
    <t xml:space="preserve">DATA CONSISTENCY CHECKS</t>
  </si>
  <si>
    <t xml:space="preserve">All should read PASS.</t>
  </si>
  <si>
    <t xml:space="preserve">Check</t>
  </si>
  <si>
    <t xml:space="preserve">Result</t>
  </si>
  <si>
    <t xml:space="preserve">Selected city found in Cities table</t>
  </si>
  <si>
    <t xml:space="preserve">Effective E20 mileage &lt; E0 baseline (Hatchback)</t>
  </si>
  <si>
    <t xml:space="preserve">CNG cost/km &lt; Petrol cost/km (Hatchback)</t>
  </si>
  <si>
    <t xml:space="preserve">Diesel cost/km &lt; Petrol cost/km (Compact SUV)</t>
  </si>
  <si>
    <t xml:space="preserve">EV cost/km &lt; CNG cost/km (Hatchback)</t>
  </si>
  <si>
    <t xml:space="preserve">Blended electricity between home and public</t>
  </si>
  <si>
    <t xml:space="preserve">Home charging share 0-100%</t>
  </si>
  <si>
    <t xml:space="preserve">E20 drop &gt;= E10 drop</t>
  </si>
  <si>
    <t xml:space="preserve">All cost/km positive</t>
  </si>
  <si>
    <t xml:space="preserve">High &gt; Average &gt; Low usage</t>
  </si>
  <si>
    <t xml:space="preserve">Annual total = fuel + maint (TCO row 5)</t>
  </si>
  <si>
    <t xml:space="preserve">No negative payback</t>
  </si>
  <si>
    <t xml:space="preserve">City petrol/km within 20% of full model (Hatch)</t>
  </si>
  <si>
    <t xml:space="preserve">FADA PV fuel shares sum to ~100%</t>
  </si>
  <si>
    <t xml:space="preserve">Sales-weighted PV cost between EV and petrol</t>
  </si>
  <si>
    <t xml:space="preserve">SIAM &amp; FADA PV totals agree within 5%</t>
  </si>
  <si>
    <t xml:space="preserve">OMC board: Delhi petrol matches Cities tab</t>
  </si>
  <si>
    <t xml:space="preserve">OMC board: petrol max &gt; min (positive spread)</t>
  </si>
  <si>
    <t xml:space="preserve">Exchequer: central + state = total fuel tax</t>
  </si>
  <si>
    <t xml:space="preserve">Exchequer: recurring fuel tax in 3-6 lakh cr range</t>
  </si>
  <si>
    <t xml:space="preserve">Exchequer: additional earnings positive</t>
  </si>
  <si>
    <t xml:space="preserve">Overall</t>
  </si>
</sst>
</file>

<file path=xl/styles.xml><?xml version="1.0" encoding="utf-8"?>
<styleSheet xmlns="http://schemas.openxmlformats.org/spreadsheetml/2006/main">
  <numFmts count="10">
    <numFmt numFmtId="164" formatCode="General"/>
    <numFmt numFmtId="165" formatCode="#,##0.00"/>
    <numFmt numFmtId="166" formatCode="0.0%"/>
    <numFmt numFmtId="167" formatCode="#,##0"/>
    <numFmt numFmtId="168" formatCode="0"/>
    <numFmt numFmtId="169" formatCode="0.0"/>
    <numFmt numFmtId="170" formatCode="\+0.00;\-0.00"/>
    <numFmt numFmtId="171" formatCode="\+0.0%;\-0.0%"/>
    <numFmt numFmtId="172" formatCode="0.000"/>
    <numFmt numFmtId="173" formatCode="0.00"/>
  </numFmts>
  <fonts count="16">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b val="true"/>
      <sz val="11"/>
      <color rgb="FF1F3864"/>
      <name val="Arial"/>
      <family val="0"/>
      <charset val="1"/>
    </font>
    <font>
      <sz val="10"/>
      <name val="Arial"/>
      <family val="0"/>
      <charset val="1"/>
    </font>
    <font>
      <i val="true"/>
      <sz val="9"/>
      <color rgb="FF595959"/>
      <name val="Arial"/>
      <family val="0"/>
      <charset val="1"/>
    </font>
    <font>
      <b val="true"/>
      <sz val="11"/>
      <color rgb="FFFFFFFF"/>
      <name val="Arial"/>
      <family val="0"/>
      <charset val="1"/>
    </font>
    <font>
      <sz val="10"/>
      <color rgb="FFFFFFFF"/>
      <name val="Arial"/>
      <family val="0"/>
      <charset val="1"/>
    </font>
    <font>
      <b val="true"/>
      <sz val="10"/>
      <name val="Arial"/>
      <family val="0"/>
      <charset val="1"/>
    </font>
    <font>
      <sz val="10"/>
      <color rgb="FF000000"/>
      <name val="Arial"/>
      <family val="0"/>
      <charset val="1"/>
    </font>
    <font>
      <sz val="10"/>
      <color rgb="FF0000FF"/>
      <name val="Arial"/>
      <family val="0"/>
      <charset val="1"/>
    </font>
    <font>
      <sz val="10"/>
      <color rgb="FF008000"/>
      <name val="Arial"/>
      <family val="0"/>
      <charset val="1"/>
    </font>
    <font>
      <b val="true"/>
      <sz val="10"/>
      <color rgb="FFFFFFFF"/>
      <name val="Arial"/>
      <family val="0"/>
      <charset val="1"/>
    </font>
    <font>
      <b val="true"/>
      <sz val="9"/>
      <color rgb="FFFFFFFF"/>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D9D9D9"/>
        <bgColor rgb="FFBFBFBF"/>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left" vertical="center" textRotation="0" wrapText="true" indent="0" shrinkToFit="false"/>
      <protection locked="true" hidden="false"/>
    </xf>
    <xf numFmtId="164" fontId="6" fillId="0" borderId="0" xfId="0" applyFont="true" applyBorder="false" applyAlignment="true" applyProtection="false">
      <alignment horizontal="left" vertical="center" textRotation="0" wrapText="true" indent="0" shrinkToFit="false"/>
      <protection locked="true" hidden="false"/>
    </xf>
    <xf numFmtId="164" fontId="7" fillId="0" borderId="0" xfId="0" applyFont="true" applyBorder="false" applyAlignment="true" applyProtection="false">
      <alignment horizontal="left" vertical="center"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4" fontId="10" fillId="3"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2" fillId="4" borderId="1" xfId="0" applyFont="true" applyBorder="true" applyAlignment="true" applyProtection="false">
      <alignment horizontal="center" vertical="center" textRotation="0" wrapText="false" indent="0" shrinkToFit="false"/>
      <protection locked="true" hidden="false"/>
    </xf>
    <xf numFmtId="164" fontId="11" fillId="0"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5" fontId="13" fillId="0" borderId="1" xfId="0" applyFont="true" applyBorder="true" applyAlignment="true" applyProtection="false">
      <alignment horizontal="center" vertical="center" textRotation="0" wrapText="false" indent="0" shrinkToFit="false"/>
      <protection locked="true" hidden="false"/>
    </xf>
    <xf numFmtId="165" fontId="12" fillId="0" borderId="1" xfId="0" applyFont="true" applyBorder="true" applyAlignment="true" applyProtection="false">
      <alignment horizontal="center" vertical="center" textRotation="0" wrapText="false" indent="0" shrinkToFit="false"/>
      <protection locked="true" hidden="false"/>
    </xf>
    <xf numFmtId="166" fontId="12" fillId="4" borderId="1" xfId="0" applyFont="true" applyBorder="true" applyAlignment="true" applyProtection="false">
      <alignment horizontal="center" vertical="center" textRotation="0" wrapText="false" indent="0" shrinkToFit="false"/>
      <protection locked="true" hidden="false"/>
    </xf>
    <xf numFmtId="166" fontId="12" fillId="0" borderId="1" xfId="0" applyFont="true" applyBorder="true" applyAlignment="true" applyProtection="false">
      <alignment horizontal="center" vertical="center" textRotation="0" wrapText="false" indent="0" shrinkToFit="false"/>
      <protection locked="true" hidden="false"/>
    </xf>
    <xf numFmtId="164" fontId="10" fillId="3" borderId="1" xfId="0" applyFont="true" applyBorder="true" applyAlignment="true" applyProtection="false">
      <alignment horizontal="center" vertical="center"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center" textRotation="0" wrapText="false" indent="0" shrinkToFit="false"/>
      <protection locked="true" hidden="false"/>
    </xf>
    <xf numFmtId="167" fontId="12" fillId="0" borderId="1" xfId="0" applyFont="true" applyBorder="true" applyAlignment="true" applyProtection="false">
      <alignment horizontal="center" vertical="center" textRotation="0" wrapText="false" indent="0" shrinkToFit="false"/>
      <protection locked="true" hidden="false"/>
    </xf>
    <xf numFmtId="167" fontId="12" fillId="4" borderId="1" xfId="0" applyFont="true" applyBorder="true" applyAlignment="true" applyProtection="false">
      <alignment horizontal="center" vertical="center" textRotation="0" wrapText="false" indent="0" shrinkToFit="false"/>
      <protection locked="true" hidden="false"/>
    </xf>
    <xf numFmtId="168" fontId="12" fillId="4" borderId="1" xfId="0" applyFont="true" applyBorder="true" applyAlignment="true" applyProtection="false">
      <alignment horizontal="center" vertical="center" textRotation="0" wrapText="false" indent="0" shrinkToFit="false"/>
      <protection locked="true" hidden="false"/>
    </xf>
    <xf numFmtId="164" fontId="14" fillId="2" borderId="1" xfId="0" applyFont="true" applyBorder="true" applyAlignment="true" applyProtection="false">
      <alignment horizontal="center" vertical="center" textRotation="0" wrapText="true" indent="0" shrinkToFit="false"/>
      <protection locked="true" hidden="false"/>
    </xf>
    <xf numFmtId="164" fontId="14" fillId="2" borderId="1" xfId="0" applyFont="true" applyBorder="true" applyAlignment="true" applyProtection="false">
      <alignment horizontal="center" vertical="center" textRotation="0" wrapText="false" indent="0" shrinkToFit="false"/>
      <protection locked="true" hidden="false"/>
    </xf>
    <xf numFmtId="165" fontId="11" fillId="0" borderId="1" xfId="0" applyFont="true" applyBorder="true" applyAlignment="true" applyProtection="false">
      <alignment horizontal="center" vertical="center" textRotation="0" wrapText="false" indent="0" shrinkToFit="false"/>
      <protection locked="true" hidden="false"/>
    </xf>
    <xf numFmtId="165" fontId="10" fillId="0" borderId="1" xfId="0" applyFont="true" applyBorder="true" applyAlignment="true" applyProtection="false">
      <alignment horizontal="center" vertical="center" textRotation="0" wrapText="false" indent="0" shrinkToFit="false"/>
      <protection locked="true" hidden="false"/>
    </xf>
    <xf numFmtId="167" fontId="10" fillId="0" borderId="1" xfId="0" applyFont="true" applyBorder="true" applyAlignment="true" applyProtection="false">
      <alignment horizontal="center" vertical="center" textRotation="0" wrapText="false" indent="0" shrinkToFit="false"/>
      <protection locked="true" hidden="false"/>
    </xf>
    <xf numFmtId="164" fontId="15" fillId="2" borderId="1" xfId="0" applyFont="true" applyBorder="true" applyAlignment="true" applyProtection="false">
      <alignment horizontal="center" vertical="center" textRotation="0" wrapText="true" indent="0" shrinkToFit="false"/>
      <protection locked="true" hidden="false"/>
    </xf>
    <xf numFmtId="167" fontId="13" fillId="0" borderId="1" xfId="0" applyFont="true" applyBorder="true" applyAlignment="true" applyProtection="false">
      <alignment horizontal="center" vertical="center" textRotation="0" wrapText="false" indent="0" shrinkToFit="false"/>
      <protection locked="true" hidden="false"/>
    </xf>
    <xf numFmtId="167" fontId="11" fillId="0" borderId="1" xfId="0" applyFont="true" applyBorder="true" applyAlignment="true" applyProtection="false">
      <alignment horizontal="center" vertical="center" textRotation="0" wrapText="false" indent="0" shrinkToFit="false"/>
      <protection locked="true" hidden="false"/>
    </xf>
    <xf numFmtId="169" fontId="10" fillId="0" borderId="1" xfId="0" applyFont="true" applyBorder="true" applyAlignment="true" applyProtection="false">
      <alignment horizontal="center" vertical="center" textRotation="0" wrapText="false" indent="0" shrinkToFit="false"/>
      <protection locked="true" hidden="false"/>
    </xf>
    <xf numFmtId="165" fontId="13" fillId="0" borderId="1" xfId="0" applyFont="true" applyBorder="true" applyAlignment="false" applyProtection="false">
      <alignment horizontal="general" vertical="bottom" textRotation="0" wrapText="false" indent="0" shrinkToFit="false"/>
      <protection locked="true" hidden="false"/>
    </xf>
    <xf numFmtId="165" fontId="12" fillId="0" borderId="1" xfId="0" applyFont="true" applyBorder="true" applyAlignment="false" applyProtection="false">
      <alignment horizontal="general" vertical="bottom" textRotation="0" wrapText="false" indent="0" shrinkToFit="false"/>
      <protection locked="true" hidden="false"/>
    </xf>
    <xf numFmtId="165" fontId="11"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5" fontId="10" fillId="0" borderId="1" xfId="0" applyFont="true" applyBorder="true" applyAlignment="false" applyProtection="false">
      <alignment horizontal="general" vertical="bottom" textRotation="0" wrapText="false" indent="0" shrinkToFit="false"/>
      <protection locked="true" hidden="false"/>
    </xf>
    <xf numFmtId="166" fontId="10"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left" vertical="center" textRotation="0" wrapText="true" indent="0" shrinkToFit="false"/>
      <protection locked="true" hidden="false"/>
    </xf>
    <xf numFmtId="166" fontId="13" fillId="0" borderId="1" xfId="0" applyFont="true" applyBorder="true" applyAlignment="true" applyProtection="false">
      <alignment horizontal="center" vertical="center" textRotation="0" wrapText="false" indent="0" shrinkToFit="false"/>
      <protection locked="true" hidden="false"/>
    </xf>
    <xf numFmtId="167" fontId="10" fillId="0" borderId="1" xfId="0" applyFont="true" applyBorder="true" applyAlignment="false" applyProtection="false">
      <alignment horizontal="general" vertical="bottom" textRotation="0" wrapText="false" indent="0" shrinkToFit="false"/>
      <protection locked="true" hidden="false"/>
    </xf>
    <xf numFmtId="170" fontId="13" fillId="0" borderId="1" xfId="0" applyFont="true" applyBorder="true" applyAlignment="true" applyProtection="false">
      <alignment horizontal="center" vertical="center" textRotation="0" wrapText="false" indent="0" shrinkToFit="false"/>
      <protection locked="true" hidden="false"/>
    </xf>
    <xf numFmtId="167" fontId="13" fillId="0" borderId="1" xfId="0" applyFont="true" applyBorder="true" applyAlignment="false" applyProtection="false">
      <alignment horizontal="general" vertical="bottom" textRotation="0" wrapText="false" indent="0" shrinkToFit="false"/>
      <protection locked="true" hidden="false"/>
    </xf>
    <xf numFmtId="167" fontId="11" fillId="0" borderId="1" xfId="0" applyFont="true" applyBorder="true" applyAlignment="false" applyProtection="false">
      <alignment horizontal="general" vertical="bottom" textRotation="0" wrapText="false" indent="0" shrinkToFit="false"/>
      <protection locked="true" hidden="false"/>
    </xf>
    <xf numFmtId="167" fontId="12" fillId="4" borderId="1" xfId="0" applyFont="true" applyBorder="true" applyAlignment="false" applyProtection="false">
      <alignment horizontal="general" vertical="bottom" textRotation="0" wrapText="false" indent="0" shrinkToFit="false"/>
      <protection locked="true" hidden="false"/>
    </xf>
    <xf numFmtId="171" fontId="11" fillId="0" borderId="1" xfId="0" applyFont="true" applyBorder="true" applyAlignment="true" applyProtection="false">
      <alignment horizontal="center" vertical="center" textRotation="0" wrapText="false" indent="0" shrinkToFit="false"/>
      <protection locked="true" hidden="false"/>
    </xf>
    <xf numFmtId="170" fontId="11" fillId="0" borderId="1" xfId="0" applyFont="true" applyBorder="true" applyAlignment="true" applyProtection="false">
      <alignment horizontal="center" vertical="center"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72" fontId="12" fillId="0" borderId="1" xfId="0" applyFont="true" applyBorder="true" applyAlignment="true" applyProtection="false">
      <alignment horizontal="center" vertical="center" textRotation="0" wrapText="false" indent="0" shrinkToFit="false"/>
      <protection locked="true" hidden="false"/>
    </xf>
    <xf numFmtId="173" fontId="12" fillId="0" borderId="1" xfId="0" applyFont="true" applyBorder="true" applyAlignment="true" applyProtection="false">
      <alignment horizontal="center" vertical="center" textRotation="0" wrapText="false" indent="0" shrinkToFit="false"/>
      <protection locked="true" hidden="false"/>
    </xf>
    <xf numFmtId="165" fontId="12" fillId="4" borderId="1" xfId="0" applyFont="true" applyBorder="true" applyAlignment="true" applyProtection="false">
      <alignment horizontal="center" vertical="center" textRotation="0" wrapText="false" indent="0" shrinkToFit="false"/>
      <protection locked="true" hidden="false"/>
    </xf>
    <xf numFmtId="164" fontId="10" fillId="0" borderId="1" xfId="0" applyFont="true" applyBorder="true" applyAlignment="true" applyProtection="false">
      <alignment horizontal="center"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8"/>
  </cols>
  <sheetData>
    <row r="1" customFormat="false" ht="17.35" hidden="false" customHeight="false" outlineLevel="0" collapsed="false">
      <c r="A1" s="1" t="s">
        <v>0</v>
      </c>
    </row>
    <row r="3" customFormat="false" ht="15" hidden="false" customHeight="false" outlineLevel="0" collapsed="false">
      <c r="A3" s="2" t="s">
        <v>1</v>
      </c>
    </row>
    <row r="4" customFormat="false" ht="15" hidden="false" customHeight="false" outlineLevel="0" collapsed="false">
      <c r="A4" s="3" t="s">
        <v>2</v>
      </c>
    </row>
    <row r="5" customFormat="false" ht="15" hidden="false" customHeight="false" outlineLevel="0" collapsed="false">
      <c r="A5" s="3" t="s">
        <v>3</v>
      </c>
    </row>
    <row r="6" customFormat="false" ht="15" hidden="false" customHeight="false" outlineLevel="0" collapsed="false">
      <c r="A6" s="3" t="s">
        <v>4</v>
      </c>
    </row>
    <row r="7" customFormat="false" ht="15" hidden="false" customHeight="false" outlineLevel="0" collapsed="false">
      <c r="A7" s="3" t="s">
        <v>5</v>
      </c>
    </row>
    <row r="8" customFormat="false" ht="15" hidden="false" customHeight="false" outlineLevel="0" collapsed="false">
      <c r="A8" s="3" t="s">
        <v>6</v>
      </c>
    </row>
    <row r="9" customFormat="false" ht="15" hidden="false" customHeight="false" outlineLevel="0" collapsed="false">
      <c r="A9" s="3" t="s">
        <v>7</v>
      </c>
    </row>
    <row r="10" customFormat="false" ht="15" hidden="false" customHeight="false" outlineLevel="0" collapsed="false">
      <c r="A10" s="3" t="s">
        <v>8</v>
      </c>
    </row>
    <row r="11" customFormat="false" ht="15" hidden="false" customHeight="false" outlineLevel="0" collapsed="false">
      <c r="A11" s="3"/>
    </row>
    <row r="12" customFormat="false" ht="15" hidden="false" customHeight="false" outlineLevel="0" collapsed="false">
      <c r="A12" s="2" t="s">
        <v>9</v>
      </c>
    </row>
    <row r="13" customFormat="false" ht="15" hidden="false" customHeight="false" outlineLevel="0" collapsed="false">
      <c r="A13" s="3" t="s">
        <v>10</v>
      </c>
    </row>
    <row r="14" customFormat="false" ht="15" hidden="false" customHeight="false" outlineLevel="0" collapsed="false">
      <c r="A14" s="3"/>
    </row>
    <row r="15" customFormat="false" ht="15" hidden="false" customHeight="false" outlineLevel="0" collapsed="false">
      <c r="A15" s="2" t="s">
        <v>11</v>
      </c>
    </row>
    <row r="16" customFormat="false" ht="23.85" hidden="false" customHeight="false" outlineLevel="0" collapsed="false">
      <c r="A16" s="3" t="s">
        <v>12</v>
      </c>
    </row>
    <row r="17" customFormat="false" ht="15" hidden="false" customHeight="false" outlineLevel="0" collapsed="false">
      <c r="A17" s="3" t="s">
        <v>13</v>
      </c>
    </row>
    <row r="18" customFormat="false" ht="23.85" hidden="false" customHeight="false" outlineLevel="0" collapsed="false">
      <c r="A18" s="3" t="s">
        <v>14</v>
      </c>
    </row>
    <row r="19" customFormat="false" ht="15" hidden="false" customHeight="false" outlineLevel="0" collapsed="false">
      <c r="A19" s="3"/>
    </row>
    <row r="20" customFormat="false" ht="15" hidden="false" customHeight="false" outlineLevel="0" collapsed="false">
      <c r="A20" s="2" t="s">
        <v>15</v>
      </c>
    </row>
    <row r="21" customFormat="false" ht="23.85" hidden="false" customHeight="false" outlineLevel="0" collapsed="false">
      <c r="A21" s="3" t="s">
        <v>16</v>
      </c>
    </row>
    <row r="22" customFormat="false" ht="15" hidden="false" customHeight="false" outlineLevel="0" collapsed="false">
      <c r="A22" s="3"/>
    </row>
    <row r="23" customFormat="false" ht="15" hidden="false" customHeight="false" outlineLevel="0" collapsed="false">
      <c r="A23" s="4" t="s">
        <v>17</v>
      </c>
    </row>
    <row r="24" customFormat="false" ht="15" hidden="false" customHeight="false" outlineLevel="0" collapsed="false">
      <c r="A24" s="4" t="s">
        <v>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3" min="2" style="0" width="15"/>
    <col collapsed="false" customWidth="true" hidden="false" outlineLevel="0" max="5" min="4" style="0" width="14"/>
    <col collapsed="false" customWidth="true" hidden="false" outlineLevel="0" max="6" min="6" style="0" width="30"/>
  </cols>
  <sheetData>
    <row r="1" customFormat="false" ht="17.35" hidden="false" customHeight="false" outlineLevel="0" collapsed="false">
      <c r="A1" s="1" t="s">
        <v>19</v>
      </c>
    </row>
    <row r="2" customFormat="false" ht="15" hidden="false" customHeight="false" outlineLevel="0" collapsed="false">
      <c r="A2" s="5" t="s">
        <v>20</v>
      </c>
    </row>
    <row r="4" customFormat="false" ht="15" hidden="false" customHeight="false" outlineLevel="0" collapsed="false">
      <c r="A4" s="6" t="s">
        <v>21</v>
      </c>
      <c r="B4" s="7"/>
      <c r="C4" s="7"/>
      <c r="D4" s="7"/>
      <c r="E4" s="7"/>
    </row>
    <row r="5" customFormat="false" ht="15" hidden="false" customHeight="false" outlineLevel="0" collapsed="false">
      <c r="A5" s="8" t="s">
        <v>22</v>
      </c>
      <c r="B5" s="8" t="s">
        <v>23</v>
      </c>
      <c r="C5" s="8" t="s">
        <v>24</v>
      </c>
      <c r="D5" s="8" t="s">
        <v>25</v>
      </c>
    </row>
    <row r="6" customFormat="false" ht="32.8" hidden="false" customHeight="false" outlineLevel="0" collapsed="false">
      <c r="A6" s="9" t="s">
        <v>26</v>
      </c>
      <c r="B6" s="10" t="s">
        <v>27</v>
      </c>
      <c r="C6" s="11" t="s">
        <v>28</v>
      </c>
      <c r="D6" s="12" t="s">
        <v>29</v>
      </c>
    </row>
    <row r="7" customFormat="false" ht="32.8" hidden="false" customHeight="false" outlineLevel="0" collapsed="false">
      <c r="A7" s="9" t="s">
        <v>30</v>
      </c>
      <c r="B7" s="13" t="n">
        <f aca="false">INDEX(Cities!$B$4:$B$9,MATCH(Assumptions!$B$6,Cities!$A$4:$A$9,0))</f>
        <v>102.12</v>
      </c>
      <c r="C7" s="11" t="s">
        <v>31</v>
      </c>
      <c r="D7" s="12" t="s">
        <v>32</v>
      </c>
    </row>
    <row r="8" customFormat="false" ht="22.35" hidden="false" customHeight="false" outlineLevel="0" collapsed="false">
      <c r="A8" s="9" t="s">
        <v>33</v>
      </c>
      <c r="B8" s="13" t="n">
        <f aca="false">INDEX(Cities!$C$4:$C$9,MATCH(Assumptions!$B$6,Cities!$A$4:$A$9,0))</f>
        <v>95.2</v>
      </c>
      <c r="C8" s="11" t="s">
        <v>31</v>
      </c>
      <c r="D8" s="12" t="s">
        <v>34</v>
      </c>
    </row>
    <row r="9" customFormat="false" ht="22.35" hidden="false" customHeight="false" outlineLevel="0" collapsed="false">
      <c r="A9" s="9" t="s">
        <v>35</v>
      </c>
      <c r="B9" s="13" t="n">
        <f aca="false">INDEX(Cities!$D$4:$D$9,MATCH(Assumptions!$B$6,Cities!$A$4:$A$9,0))</f>
        <v>83.09</v>
      </c>
      <c r="C9" s="11" t="s">
        <v>36</v>
      </c>
      <c r="D9" s="12" t="s">
        <v>34</v>
      </c>
    </row>
    <row r="10" customFormat="false" ht="32.8" hidden="false" customHeight="false" outlineLevel="0" collapsed="false">
      <c r="A10" s="9" t="s">
        <v>37</v>
      </c>
      <c r="B10" s="13" t="n">
        <f aca="false">INDEX(Cities!$E$4:$E$9,MATCH(Assumptions!$B$6,Cities!$A$4:$A$9,0))</f>
        <v>8</v>
      </c>
      <c r="C10" s="11" t="s">
        <v>38</v>
      </c>
      <c r="D10" s="12" t="s">
        <v>39</v>
      </c>
    </row>
    <row r="11" customFormat="false" ht="15" hidden="false" customHeight="false" outlineLevel="0" collapsed="false">
      <c r="A11" s="6" t="s">
        <v>40</v>
      </c>
      <c r="B11" s="7"/>
      <c r="C11" s="7"/>
      <c r="D11" s="7"/>
      <c r="E11" s="7"/>
    </row>
    <row r="12" customFormat="false" ht="15" hidden="false" customHeight="false" outlineLevel="0" collapsed="false">
      <c r="A12" s="8" t="s">
        <v>22</v>
      </c>
      <c r="B12" s="8" t="s">
        <v>23</v>
      </c>
      <c r="C12" s="8" t="s">
        <v>24</v>
      </c>
      <c r="D12" s="8" t="s">
        <v>25</v>
      </c>
    </row>
    <row r="13" customFormat="false" ht="22.35" hidden="false" customHeight="false" outlineLevel="0" collapsed="false">
      <c r="A13" s="9" t="s">
        <v>41</v>
      </c>
      <c r="B13" s="14" t="n">
        <v>21</v>
      </c>
      <c r="C13" s="11" t="s">
        <v>38</v>
      </c>
      <c r="D13" s="12" t="s">
        <v>42</v>
      </c>
    </row>
    <row r="14" customFormat="false" ht="22.35" hidden="false" customHeight="false" outlineLevel="0" collapsed="false">
      <c r="A14" s="9" t="s">
        <v>43</v>
      </c>
      <c r="B14" s="15" t="n">
        <v>0.8</v>
      </c>
      <c r="C14" s="11" t="s">
        <v>44</v>
      </c>
      <c r="D14" s="12" t="s">
        <v>45</v>
      </c>
    </row>
    <row r="15" customFormat="false" ht="22.35" hidden="false" customHeight="false" outlineLevel="0" collapsed="false">
      <c r="A15" s="9" t="s">
        <v>46</v>
      </c>
      <c r="B15" s="13" t="n">
        <f aca="false">Assumptions!$B$10*Assumptions!$B$14+Assumptions!$B$13*(1-Assumptions!$B$14)</f>
        <v>10.6</v>
      </c>
      <c r="C15" s="11" t="s">
        <v>38</v>
      </c>
      <c r="D15" s="12" t="s">
        <v>47</v>
      </c>
    </row>
    <row r="16" customFormat="false" ht="22.35" hidden="false" customHeight="false" outlineLevel="0" collapsed="false">
      <c r="A16" s="9" t="s">
        <v>48</v>
      </c>
      <c r="B16" s="16" t="n">
        <v>0.02</v>
      </c>
      <c r="C16" s="11" t="s">
        <v>49</v>
      </c>
      <c r="D16" s="12" t="s">
        <v>50</v>
      </c>
    </row>
    <row r="17" customFormat="false" ht="43.25" hidden="false" customHeight="false" outlineLevel="0" collapsed="false">
      <c r="A17" s="9" t="s">
        <v>51</v>
      </c>
      <c r="B17" s="15" t="n">
        <v>0.04</v>
      </c>
      <c r="C17" s="11" t="s">
        <v>49</v>
      </c>
      <c r="D17" s="12" t="s">
        <v>52</v>
      </c>
    </row>
    <row r="18" customFormat="false" ht="15" hidden="false" customHeight="false" outlineLevel="0" collapsed="false">
      <c r="A18" s="6" t="s">
        <v>53</v>
      </c>
      <c r="B18" s="7"/>
      <c r="C18" s="7"/>
      <c r="D18" s="7"/>
      <c r="E18" s="7"/>
    </row>
    <row r="19" customFormat="false" ht="15" hidden="false" customHeight="false" outlineLevel="0" collapsed="false">
      <c r="A19" s="8" t="s">
        <v>22</v>
      </c>
      <c r="B19" s="8" t="s">
        <v>23</v>
      </c>
      <c r="C19" s="8" t="s">
        <v>24</v>
      </c>
      <c r="D19" s="8" t="s">
        <v>25</v>
      </c>
    </row>
    <row r="20" customFormat="false" ht="15" hidden="false" customHeight="false" outlineLevel="0" collapsed="false">
      <c r="A20" s="8" t="s">
        <v>54</v>
      </c>
      <c r="B20" s="17" t="s">
        <v>55</v>
      </c>
      <c r="C20" s="17" t="s">
        <v>56</v>
      </c>
      <c r="D20" s="17" t="s">
        <v>57</v>
      </c>
      <c r="E20" s="17" t="s">
        <v>58</v>
      </c>
    </row>
    <row r="21" customFormat="false" ht="22.35" hidden="false" customHeight="false" outlineLevel="0" collapsed="false">
      <c r="A21" s="18" t="s">
        <v>59</v>
      </c>
      <c r="B21" s="14" t="n">
        <v>55</v>
      </c>
      <c r="C21" s="19" t="s">
        <v>60</v>
      </c>
      <c r="D21" s="14" t="n">
        <v>102</v>
      </c>
      <c r="E21" s="14" t="n">
        <v>30</v>
      </c>
      <c r="F21" s="12" t="s">
        <v>61</v>
      </c>
    </row>
    <row r="22" customFormat="false" ht="15" hidden="false" customHeight="false" outlineLevel="0" collapsed="false">
      <c r="A22" s="18" t="s">
        <v>62</v>
      </c>
      <c r="B22" s="14" t="n">
        <v>16</v>
      </c>
      <c r="C22" s="19" t="s">
        <v>60</v>
      </c>
      <c r="D22" s="14" t="n">
        <v>28</v>
      </c>
      <c r="E22" s="14" t="n">
        <v>7.5</v>
      </c>
      <c r="F22" s="12" t="s">
        <v>63</v>
      </c>
    </row>
    <row r="23" customFormat="false" ht="15" hidden="false" customHeight="false" outlineLevel="0" collapsed="false">
      <c r="A23" s="18" t="s">
        <v>64</v>
      </c>
      <c r="B23" s="14" t="n">
        <v>15</v>
      </c>
      <c r="C23" s="14" t="n">
        <v>22</v>
      </c>
      <c r="D23" s="14" t="n">
        <v>26</v>
      </c>
      <c r="E23" s="14" t="n">
        <v>7</v>
      </c>
      <c r="F23" s="12" t="s">
        <v>65</v>
      </c>
    </row>
    <row r="24" customFormat="false" ht="15" hidden="false" customHeight="false" outlineLevel="0" collapsed="false">
      <c r="A24" s="18" t="s">
        <v>66</v>
      </c>
      <c r="B24" s="14" t="n">
        <v>13</v>
      </c>
      <c r="C24" s="14" t="n">
        <v>19</v>
      </c>
      <c r="D24" s="14" t="n">
        <v>22</v>
      </c>
      <c r="E24" s="14" t="n">
        <v>6.5</v>
      </c>
      <c r="F24" s="12" t="s">
        <v>67</v>
      </c>
    </row>
    <row r="26" customFormat="false" ht="15" hidden="false" customHeight="false" outlineLevel="0" collapsed="false">
      <c r="A26" s="6" t="s">
        <v>68</v>
      </c>
      <c r="B26" s="7"/>
      <c r="C26" s="7"/>
      <c r="D26" s="7"/>
      <c r="E26" s="7"/>
    </row>
    <row r="27" customFormat="false" ht="15" hidden="false" customHeight="false" outlineLevel="0" collapsed="false">
      <c r="A27" s="8" t="s">
        <v>22</v>
      </c>
      <c r="B27" s="8" t="s">
        <v>23</v>
      </c>
      <c r="C27" s="8" t="s">
        <v>24</v>
      </c>
      <c r="D27" s="8" t="s">
        <v>25</v>
      </c>
    </row>
    <row r="28" customFormat="false" ht="15" hidden="false" customHeight="false" outlineLevel="0" collapsed="false">
      <c r="A28" s="8" t="s">
        <v>54</v>
      </c>
      <c r="B28" s="17" t="s">
        <v>69</v>
      </c>
      <c r="C28" s="17" t="s">
        <v>70</v>
      </c>
      <c r="D28" s="17" t="s">
        <v>71</v>
      </c>
      <c r="E28" s="17" t="s">
        <v>72</v>
      </c>
    </row>
    <row r="29" customFormat="false" ht="15" hidden="false" customHeight="false" outlineLevel="0" collapsed="false">
      <c r="A29" s="18" t="s">
        <v>59</v>
      </c>
      <c r="B29" s="20" t="n">
        <v>90000</v>
      </c>
      <c r="C29" s="19" t="s">
        <v>60</v>
      </c>
      <c r="D29" s="20" t="n">
        <v>15000</v>
      </c>
      <c r="E29" s="20" t="n">
        <v>45000</v>
      </c>
    </row>
    <row r="30" customFormat="false" ht="15" hidden="false" customHeight="false" outlineLevel="0" collapsed="false">
      <c r="A30" s="18" t="s">
        <v>62</v>
      </c>
      <c r="B30" s="20" t="n">
        <v>700000</v>
      </c>
      <c r="C30" s="19" t="s">
        <v>60</v>
      </c>
      <c r="D30" s="20" t="n">
        <v>90000</v>
      </c>
      <c r="E30" s="20" t="n">
        <v>450000</v>
      </c>
    </row>
    <row r="31" customFormat="false" ht="15" hidden="false" customHeight="false" outlineLevel="0" collapsed="false">
      <c r="A31" s="18" t="s">
        <v>64</v>
      </c>
      <c r="B31" s="20" t="n">
        <v>900000</v>
      </c>
      <c r="C31" s="20" t="n">
        <v>120000</v>
      </c>
      <c r="D31" s="20" t="n">
        <v>95000</v>
      </c>
      <c r="E31" s="20" t="n">
        <v>500000</v>
      </c>
    </row>
    <row r="32" customFormat="false" ht="15" hidden="false" customHeight="false" outlineLevel="0" collapsed="false">
      <c r="A32" s="18" t="s">
        <v>66</v>
      </c>
      <c r="B32" s="20" t="n">
        <v>1150000</v>
      </c>
      <c r="C32" s="20" t="n">
        <v>150000</v>
      </c>
      <c r="D32" s="20" t="n">
        <v>110000</v>
      </c>
      <c r="E32" s="20" t="n">
        <v>400000</v>
      </c>
    </row>
    <row r="34" customFormat="false" ht="15" hidden="false" customHeight="false" outlineLevel="0" collapsed="false">
      <c r="A34" s="6" t="s">
        <v>73</v>
      </c>
      <c r="B34" s="7"/>
      <c r="C34" s="7"/>
      <c r="D34" s="7"/>
      <c r="E34" s="7"/>
    </row>
    <row r="35" customFormat="false" ht="15" hidden="false" customHeight="false" outlineLevel="0" collapsed="false">
      <c r="A35" s="8" t="s">
        <v>22</v>
      </c>
      <c r="B35" s="8" t="s">
        <v>23</v>
      </c>
      <c r="C35" s="8" t="s">
        <v>24</v>
      </c>
      <c r="D35" s="8" t="s">
        <v>25</v>
      </c>
    </row>
    <row r="36" customFormat="false" ht="15" hidden="false" customHeight="false" outlineLevel="0" collapsed="false">
      <c r="A36" s="9" t="s">
        <v>74</v>
      </c>
      <c r="B36" s="20" t="n">
        <v>2000</v>
      </c>
      <c r="C36" s="11" t="s">
        <v>75</v>
      </c>
      <c r="D36" s="12" t="s">
        <v>76</v>
      </c>
    </row>
    <row r="37" customFormat="false" ht="22.35" hidden="false" customHeight="false" outlineLevel="0" collapsed="false">
      <c r="A37" s="9" t="s">
        <v>77</v>
      </c>
      <c r="B37" s="20" t="n">
        <v>2600</v>
      </c>
      <c r="C37" s="11" t="s">
        <v>75</v>
      </c>
      <c r="D37" s="12" t="s">
        <v>78</v>
      </c>
    </row>
    <row r="38" customFormat="false" ht="15" hidden="false" customHeight="false" outlineLevel="0" collapsed="false">
      <c r="A38" s="9" t="s">
        <v>79</v>
      </c>
      <c r="B38" s="20" t="n">
        <v>1000</v>
      </c>
      <c r="C38" s="11" t="s">
        <v>75</v>
      </c>
      <c r="D38" s="12" t="s">
        <v>80</v>
      </c>
    </row>
    <row r="39" customFormat="false" ht="15" hidden="false" customHeight="false" outlineLevel="0" collapsed="false">
      <c r="A39" s="9" t="s">
        <v>81</v>
      </c>
      <c r="B39" s="20" t="n">
        <v>6000</v>
      </c>
      <c r="C39" s="11" t="s">
        <v>75</v>
      </c>
      <c r="D39" s="12" t="s">
        <v>76</v>
      </c>
    </row>
    <row r="40" customFormat="false" ht="22.35" hidden="false" customHeight="false" outlineLevel="0" collapsed="false">
      <c r="A40" s="9" t="s">
        <v>82</v>
      </c>
      <c r="B40" s="20" t="n">
        <v>9000</v>
      </c>
      <c r="C40" s="11" t="s">
        <v>75</v>
      </c>
      <c r="D40" s="12" t="s">
        <v>83</v>
      </c>
    </row>
    <row r="41" customFormat="false" ht="22.35" hidden="false" customHeight="false" outlineLevel="0" collapsed="false">
      <c r="A41" s="9" t="s">
        <v>84</v>
      </c>
      <c r="B41" s="20" t="n">
        <v>8500</v>
      </c>
      <c r="C41" s="11" t="s">
        <v>75</v>
      </c>
      <c r="D41" s="12" t="s">
        <v>85</v>
      </c>
    </row>
    <row r="42" customFormat="false" ht="22.35" hidden="false" customHeight="false" outlineLevel="0" collapsed="false">
      <c r="A42" s="9" t="s">
        <v>86</v>
      </c>
      <c r="B42" s="20" t="n">
        <v>3500</v>
      </c>
      <c r="C42" s="11" t="s">
        <v>75</v>
      </c>
      <c r="D42" s="12" t="s">
        <v>87</v>
      </c>
    </row>
    <row r="43" customFormat="false" ht="15" hidden="false" customHeight="false" outlineLevel="0" collapsed="false">
      <c r="A43" s="6" t="s">
        <v>88</v>
      </c>
      <c r="B43" s="7"/>
      <c r="C43" s="7"/>
      <c r="D43" s="7"/>
      <c r="E43" s="7"/>
    </row>
    <row r="44" customFormat="false" ht="15" hidden="false" customHeight="false" outlineLevel="0" collapsed="false">
      <c r="A44" s="8" t="s">
        <v>22</v>
      </c>
      <c r="B44" s="8" t="s">
        <v>23</v>
      </c>
      <c r="C44" s="8" t="s">
        <v>24</v>
      </c>
      <c r="D44" s="8" t="s">
        <v>25</v>
      </c>
    </row>
    <row r="45" customFormat="false" ht="15" hidden="false" customHeight="false" outlineLevel="0" collapsed="false">
      <c r="A45" s="9" t="s">
        <v>89</v>
      </c>
      <c r="B45" s="21" t="n">
        <v>8000</v>
      </c>
      <c r="C45" s="11" t="s">
        <v>90</v>
      </c>
      <c r="D45" s="12" t="s">
        <v>91</v>
      </c>
    </row>
    <row r="46" customFormat="false" ht="15" hidden="false" customHeight="false" outlineLevel="0" collapsed="false">
      <c r="A46" s="9" t="s">
        <v>92</v>
      </c>
      <c r="B46" s="21" t="n">
        <v>15000</v>
      </c>
      <c r="C46" s="11" t="s">
        <v>90</v>
      </c>
      <c r="D46" s="12" t="s">
        <v>93</v>
      </c>
    </row>
    <row r="47" customFormat="false" ht="15" hidden="false" customHeight="false" outlineLevel="0" collapsed="false">
      <c r="A47" s="9" t="s">
        <v>94</v>
      </c>
      <c r="B47" s="21" t="n">
        <v>25000</v>
      </c>
      <c r="C47" s="11" t="s">
        <v>90</v>
      </c>
      <c r="D47" s="12" t="s">
        <v>95</v>
      </c>
    </row>
    <row r="48" customFormat="false" ht="15" hidden="false" customHeight="false" outlineLevel="0" collapsed="false">
      <c r="A48" s="9" t="s">
        <v>96</v>
      </c>
      <c r="B48" s="22" t="n">
        <v>5</v>
      </c>
      <c r="C48" s="11" t="s">
        <v>97</v>
      </c>
      <c r="D48" s="12" t="s">
        <v>98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4" min="2" style="0" width="11"/>
    <col collapsed="false" customWidth="true" hidden="false" outlineLevel="0" max="5" min="5" style="0" width="14"/>
    <col collapsed="false" customWidth="true" hidden="false" outlineLevel="0" max="7" min="6" style="0" width="11"/>
    <col collapsed="false" customWidth="true" hidden="false" outlineLevel="0" max="8" min="8" style="0" width="15"/>
    <col collapsed="false" customWidth="true" hidden="false" outlineLevel="0" max="10" min="9" style="0" width="14"/>
    <col collapsed="false" customWidth="true" hidden="false" outlineLevel="0" max="11" min="11" style="0" width="13"/>
  </cols>
  <sheetData>
    <row r="1" customFormat="false" ht="17.35" hidden="false" customHeight="false" outlineLevel="0" collapsed="false">
      <c r="A1" s="1" t="s">
        <v>99</v>
      </c>
    </row>
    <row r="2" customFormat="false" ht="15" hidden="false" customHeight="false" outlineLevel="0" collapsed="false">
      <c r="A2" s="5" t="s">
        <v>100</v>
      </c>
    </row>
    <row r="3" customFormat="false" ht="39.75" hidden="false" customHeight="true" outlineLevel="0" collapsed="false">
      <c r="A3" s="23" t="s">
        <v>101</v>
      </c>
      <c r="B3" s="23" t="s">
        <v>102</v>
      </c>
      <c r="C3" s="23" t="s">
        <v>103</v>
      </c>
      <c r="D3" s="23" t="s">
        <v>104</v>
      </c>
      <c r="E3" s="23" t="s">
        <v>105</v>
      </c>
      <c r="F3" s="23" t="s">
        <v>106</v>
      </c>
      <c r="G3" s="23" t="s">
        <v>107</v>
      </c>
      <c r="H3" s="23" t="s">
        <v>108</v>
      </c>
      <c r="I3" s="23" t="s">
        <v>109</v>
      </c>
      <c r="J3" s="23" t="s">
        <v>110</v>
      </c>
      <c r="K3" s="23" t="s">
        <v>111</v>
      </c>
    </row>
    <row r="4" customFormat="false" ht="15" hidden="false" customHeight="false" outlineLevel="0" collapsed="false">
      <c r="A4" s="18" t="s">
        <v>27</v>
      </c>
      <c r="B4" s="14" t="n">
        <v>102.12</v>
      </c>
      <c r="C4" s="14" t="n">
        <v>95.2</v>
      </c>
      <c r="D4" s="14" t="n">
        <v>83.09</v>
      </c>
      <c r="E4" s="14" t="n">
        <v>8</v>
      </c>
      <c r="F4" s="16" t="n">
        <v>0.194</v>
      </c>
      <c r="G4" s="16" t="n">
        <v>0.1675</v>
      </c>
      <c r="H4" s="13" t="n">
        <f aca="false">B4/(Assumptions!$B$22*(1-Assumptions!$B$17))</f>
        <v>6.6484375</v>
      </c>
      <c r="I4" s="13" t="n">
        <f aca="false">C4/Assumptions!$C$24</f>
        <v>5.01052631578947</v>
      </c>
      <c r="J4" s="13" t="n">
        <f aca="false">D4/Assumptions!$D$22</f>
        <v>2.9675</v>
      </c>
      <c r="K4" s="13" t="n">
        <f aca="false">(E4*Assumptions!$B$14+Assumptions!$B$13*(1-Assumptions!$B$14))/Assumptions!$E$22</f>
        <v>1.41333333333333</v>
      </c>
    </row>
    <row r="5" customFormat="false" ht="15" hidden="false" customHeight="false" outlineLevel="0" collapsed="false">
      <c r="A5" s="18" t="s">
        <v>112</v>
      </c>
      <c r="B5" s="14" t="n">
        <v>111.21</v>
      </c>
      <c r="C5" s="14" t="n">
        <v>97.83</v>
      </c>
      <c r="D5" s="14" t="n">
        <v>86</v>
      </c>
      <c r="E5" s="14" t="n">
        <v>11</v>
      </c>
      <c r="F5" s="16" t="n">
        <v>0.25</v>
      </c>
      <c r="G5" s="16" t="n">
        <v>0.21</v>
      </c>
      <c r="H5" s="13" t="n">
        <f aca="false">B5/(Assumptions!$B$22*(1-Assumptions!$B$17))</f>
        <v>7.240234375</v>
      </c>
      <c r="I5" s="13" t="n">
        <f aca="false">C5/Assumptions!$C$24</f>
        <v>5.14894736842105</v>
      </c>
      <c r="J5" s="13" t="n">
        <f aca="false">D5/Assumptions!$D$22</f>
        <v>3.07142857142857</v>
      </c>
      <c r="K5" s="13" t="n">
        <f aca="false">(E5*Assumptions!$B$14+Assumptions!$B$13*(1-Assumptions!$B$14))/Assumptions!$E$22</f>
        <v>1.73333333333333</v>
      </c>
    </row>
    <row r="6" customFormat="false" ht="15" hidden="false" customHeight="false" outlineLevel="0" collapsed="false">
      <c r="A6" s="18" t="s">
        <v>113</v>
      </c>
      <c r="B6" s="14" t="n">
        <v>113.51</v>
      </c>
      <c r="C6" s="14" t="n">
        <v>99.82</v>
      </c>
      <c r="D6" s="14" t="n">
        <v>93.5</v>
      </c>
      <c r="E6" s="14" t="n">
        <v>9</v>
      </c>
      <c r="F6" s="16" t="n">
        <v>0.25</v>
      </c>
      <c r="G6" s="16" t="n">
        <v>0.175</v>
      </c>
      <c r="H6" s="13" t="n">
        <f aca="false">B6/(Assumptions!$B$22*(1-Assumptions!$B$17))</f>
        <v>7.38997395833333</v>
      </c>
      <c r="I6" s="13" t="n">
        <f aca="false">C6/Assumptions!$C$24</f>
        <v>5.25368421052632</v>
      </c>
      <c r="J6" s="13" t="n">
        <f aca="false">D6/Assumptions!$D$22</f>
        <v>3.33928571428571</v>
      </c>
      <c r="K6" s="13" t="n">
        <f aca="false">(E6*Assumptions!$B$14+Assumptions!$B$13*(1-Assumptions!$B$14))/Assumptions!$E$22</f>
        <v>1.52</v>
      </c>
    </row>
    <row r="7" customFormat="false" ht="15" hidden="false" customHeight="false" outlineLevel="0" collapsed="false">
      <c r="A7" s="18" t="s">
        <v>114</v>
      </c>
      <c r="B7" s="14" t="n">
        <v>107.76</v>
      </c>
      <c r="C7" s="14" t="n">
        <v>99.55</v>
      </c>
      <c r="D7" s="14" t="n">
        <v>97</v>
      </c>
      <c r="E7" s="14" t="n">
        <v>8</v>
      </c>
      <c r="F7" s="16" t="n">
        <v>0.18</v>
      </c>
      <c r="G7" s="16" t="n">
        <v>0.14</v>
      </c>
      <c r="H7" s="13" t="n">
        <f aca="false">B7/(Assumptions!$B$22*(1-Assumptions!$B$17))</f>
        <v>7.015625</v>
      </c>
      <c r="I7" s="13" t="n">
        <f aca="false">C7/Assumptions!$C$24</f>
        <v>5.23947368421053</v>
      </c>
      <c r="J7" s="13" t="n">
        <f aca="false">D7/Assumptions!$D$22</f>
        <v>3.46428571428571</v>
      </c>
      <c r="K7" s="13" t="n">
        <f aca="false">(E7*Assumptions!$B$14+Assumptions!$B$13*(1-Assumptions!$B$14))/Assumptions!$E$22</f>
        <v>1.41333333333333</v>
      </c>
    </row>
    <row r="8" customFormat="false" ht="15" hidden="false" customHeight="false" outlineLevel="0" collapsed="false">
      <c r="A8" s="18" t="s">
        <v>115</v>
      </c>
      <c r="B8" s="14" t="n">
        <v>111.68</v>
      </c>
      <c r="C8" s="14" t="n">
        <v>99.56</v>
      </c>
      <c r="D8" s="14" t="n">
        <v>97</v>
      </c>
      <c r="E8" s="14" t="n">
        <v>9</v>
      </c>
      <c r="F8" s="16" t="n">
        <v>0.2984</v>
      </c>
      <c r="G8" s="16" t="n">
        <v>0.1844</v>
      </c>
      <c r="H8" s="13" t="n">
        <f aca="false">B8/(Assumptions!$B$22*(1-Assumptions!$B$17))</f>
        <v>7.27083333333333</v>
      </c>
      <c r="I8" s="13" t="n">
        <f aca="false">C8/Assumptions!$C$24</f>
        <v>5.24</v>
      </c>
      <c r="J8" s="13" t="n">
        <f aca="false">D8/Assumptions!$D$22</f>
        <v>3.46428571428571</v>
      </c>
      <c r="K8" s="13" t="n">
        <f aca="false">(E8*Assumptions!$B$14+Assumptions!$B$13*(1-Assumptions!$B$14))/Assumptions!$E$22</f>
        <v>1.52</v>
      </c>
    </row>
    <row r="9" customFormat="false" ht="15" hidden="false" customHeight="false" outlineLevel="0" collapsed="false">
      <c r="A9" s="18" t="s">
        <v>116</v>
      </c>
      <c r="B9" s="14" t="n">
        <v>115.69</v>
      </c>
      <c r="C9" s="14" t="n">
        <v>103.82</v>
      </c>
      <c r="D9" s="14" t="n">
        <v>97</v>
      </c>
      <c r="E9" s="14" t="n">
        <v>9.5</v>
      </c>
      <c r="F9" s="16" t="n">
        <v>0.352</v>
      </c>
      <c r="G9" s="16" t="n">
        <v>0.27</v>
      </c>
      <c r="H9" s="13" t="n">
        <f aca="false">B9/(Assumptions!$B$22*(1-Assumptions!$B$17))</f>
        <v>7.53190104166667</v>
      </c>
      <c r="I9" s="13" t="n">
        <f aca="false">C9/Assumptions!$C$24</f>
        <v>5.46421052631579</v>
      </c>
      <c r="J9" s="13" t="n">
        <f aca="false">D9/Assumptions!$D$22</f>
        <v>3.46428571428571</v>
      </c>
      <c r="K9" s="13" t="n">
        <f aca="false">(E9*Assumptions!$B$14+Assumptions!$B$13*(1-Assumptions!$B$14))/Assumptions!$E$22</f>
        <v>1.57333333333333</v>
      </c>
    </row>
    <row r="11" customFormat="false" ht="15" hidden="false" customHeight="false" outlineLevel="0" collapsed="false">
      <c r="A11" s="5" t="s">
        <v>117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1"/>
    <col collapsed="false" customWidth="true" hidden="false" outlineLevel="0" max="3" min="3" style="0" width="15"/>
    <col collapsed="false" customWidth="true" hidden="false" outlineLevel="0" max="4" min="4" style="0" width="16"/>
    <col collapsed="false" customWidth="true" hidden="false" outlineLevel="0" max="5" min="5" style="0" width="10"/>
    <col collapsed="false" customWidth="true" hidden="false" outlineLevel="0" max="7" min="6" style="0" width="15"/>
  </cols>
  <sheetData>
    <row r="1" customFormat="false" ht="17.35" hidden="false" customHeight="false" outlineLevel="0" collapsed="false">
      <c r="A1" s="1" t="s">
        <v>118</v>
      </c>
    </row>
    <row r="2" customFormat="false" ht="15" hidden="false" customHeight="false" outlineLevel="0" collapsed="false">
      <c r="A2" s="5" t="s">
        <v>119</v>
      </c>
    </row>
    <row r="4" customFormat="false" ht="15" hidden="false" customHeight="false" outlineLevel="0" collapsed="false">
      <c r="A4" s="24" t="s">
        <v>54</v>
      </c>
      <c r="B4" s="24" t="s">
        <v>120</v>
      </c>
      <c r="C4" s="24" t="s">
        <v>121</v>
      </c>
      <c r="D4" s="24" t="s">
        <v>122</v>
      </c>
      <c r="E4" s="24" t="s">
        <v>24</v>
      </c>
      <c r="F4" s="24" t="s">
        <v>123</v>
      </c>
      <c r="G4" s="24" t="s">
        <v>124</v>
      </c>
    </row>
    <row r="5" customFormat="false" ht="15" hidden="false" customHeight="false" outlineLevel="0" collapsed="false">
      <c r="A5" s="18" t="s">
        <v>59</v>
      </c>
      <c r="B5" s="18" t="s">
        <v>125</v>
      </c>
      <c r="C5" s="13" t="n">
        <f aca="false">Assumptions!$B$21</f>
        <v>55</v>
      </c>
      <c r="D5" s="25" t="n">
        <f aca="false">Assumptions!$B$21*(1-Assumptions!$B$17)</f>
        <v>52.8</v>
      </c>
      <c r="E5" s="11" t="s">
        <v>126</v>
      </c>
      <c r="F5" s="13" t="n">
        <f aca="false">Assumptions!$B$7</f>
        <v>102.12</v>
      </c>
      <c r="G5" s="26" t="n">
        <f aca="false">F5/D5</f>
        <v>1.93409090909091</v>
      </c>
    </row>
    <row r="6" customFormat="false" ht="15" hidden="false" customHeight="false" outlineLevel="0" collapsed="false">
      <c r="A6" s="18" t="s">
        <v>59</v>
      </c>
      <c r="B6" s="18" t="s">
        <v>127</v>
      </c>
      <c r="C6" s="13" t="n">
        <f aca="false">Assumptions!$D$21</f>
        <v>102</v>
      </c>
      <c r="D6" s="25" t="n">
        <f aca="false">Assumptions!$D$21</f>
        <v>102</v>
      </c>
      <c r="E6" s="11" t="s">
        <v>128</v>
      </c>
      <c r="F6" s="13" t="n">
        <f aca="false">Assumptions!$B$9</f>
        <v>83.09</v>
      </c>
      <c r="G6" s="26" t="n">
        <f aca="false">F6/D6</f>
        <v>0.814607843137255</v>
      </c>
    </row>
    <row r="7" customFormat="false" ht="15" hidden="false" customHeight="false" outlineLevel="0" collapsed="false">
      <c r="A7" s="18" t="s">
        <v>59</v>
      </c>
      <c r="B7" s="18" t="s">
        <v>129</v>
      </c>
      <c r="C7" s="13" t="n">
        <f aca="false">Assumptions!$E$21</f>
        <v>30</v>
      </c>
      <c r="D7" s="25" t="n">
        <f aca="false">Assumptions!$E$21</f>
        <v>30</v>
      </c>
      <c r="E7" s="11" t="s">
        <v>130</v>
      </c>
      <c r="F7" s="13" t="n">
        <f aca="false">Assumptions!$B$15</f>
        <v>10.6</v>
      </c>
      <c r="G7" s="26" t="n">
        <f aca="false">F7/D7</f>
        <v>0.353333333333333</v>
      </c>
    </row>
    <row r="8" customFormat="false" ht="15" hidden="false" customHeight="false" outlineLevel="0" collapsed="false">
      <c r="A8" s="18" t="s">
        <v>62</v>
      </c>
      <c r="B8" s="18" t="s">
        <v>125</v>
      </c>
      <c r="C8" s="13" t="n">
        <f aca="false">Assumptions!$B$22</f>
        <v>16</v>
      </c>
      <c r="D8" s="25" t="n">
        <f aca="false">Assumptions!$B$22*(1-Assumptions!$B$17)</f>
        <v>15.36</v>
      </c>
      <c r="E8" s="11" t="s">
        <v>126</v>
      </c>
      <c r="F8" s="13" t="n">
        <f aca="false">Assumptions!$B$7</f>
        <v>102.12</v>
      </c>
      <c r="G8" s="26" t="n">
        <f aca="false">F8/D8</f>
        <v>6.6484375</v>
      </c>
    </row>
    <row r="9" customFormat="false" ht="15" hidden="false" customHeight="false" outlineLevel="0" collapsed="false">
      <c r="A9" s="18" t="s">
        <v>62</v>
      </c>
      <c r="B9" s="18" t="s">
        <v>127</v>
      </c>
      <c r="C9" s="13" t="n">
        <f aca="false">Assumptions!$D$22</f>
        <v>28</v>
      </c>
      <c r="D9" s="25" t="n">
        <f aca="false">Assumptions!$D$22</f>
        <v>28</v>
      </c>
      <c r="E9" s="11" t="s">
        <v>128</v>
      </c>
      <c r="F9" s="13" t="n">
        <f aca="false">Assumptions!$B$9</f>
        <v>83.09</v>
      </c>
      <c r="G9" s="26" t="n">
        <f aca="false">F9/D9</f>
        <v>2.9675</v>
      </c>
    </row>
    <row r="10" customFormat="false" ht="15" hidden="false" customHeight="false" outlineLevel="0" collapsed="false">
      <c r="A10" s="18" t="s">
        <v>62</v>
      </c>
      <c r="B10" s="18" t="s">
        <v>129</v>
      </c>
      <c r="C10" s="13" t="n">
        <f aca="false">Assumptions!$E$22</f>
        <v>7.5</v>
      </c>
      <c r="D10" s="25" t="n">
        <f aca="false">Assumptions!$E$22</f>
        <v>7.5</v>
      </c>
      <c r="E10" s="11" t="s">
        <v>130</v>
      </c>
      <c r="F10" s="13" t="n">
        <f aca="false">Assumptions!$B$15</f>
        <v>10.6</v>
      </c>
      <c r="G10" s="26" t="n">
        <f aca="false">F10/D10</f>
        <v>1.41333333333333</v>
      </c>
    </row>
    <row r="11" customFormat="false" ht="15" hidden="false" customHeight="false" outlineLevel="0" collapsed="false">
      <c r="A11" s="18" t="s">
        <v>64</v>
      </c>
      <c r="B11" s="18" t="s">
        <v>125</v>
      </c>
      <c r="C11" s="13" t="n">
        <f aca="false">Assumptions!$B$23</f>
        <v>15</v>
      </c>
      <c r="D11" s="25" t="n">
        <f aca="false">Assumptions!$B$23*(1-Assumptions!$B$17)</f>
        <v>14.4</v>
      </c>
      <c r="E11" s="11" t="s">
        <v>126</v>
      </c>
      <c r="F11" s="13" t="n">
        <f aca="false">Assumptions!$B$7</f>
        <v>102.12</v>
      </c>
      <c r="G11" s="26" t="n">
        <f aca="false">F11/D11</f>
        <v>7.09166666666667</v>
      </c>
    </row>
    <row r="12" customFormat="false" ht="15" hidden="false" customHeight="false" outlineLevel="0" collapsed="false">
      <c r="A12" s="18" t="s">
        <v>64</v>
      </c>
      <c r="B12" s="18" t="s">
        <v>131</v>
      </c>
      <c r="C12" s="13" t="n">
        <f aca="false">Assumptions!$C$23</f>
        <v>22</v>
      </c>
      <c r="D12" s="25" t="n">
        <f aca="false">Assumptions!$C$23</f>
        <v>22</v>
      </c>
      <c r="E12" s="11" t="s">
        <v>126</v>
      </c>
      <c r="F12" s="13" t="n">
        <f aca="false">Assumptions!$B$8</f>
        <v>95.2</v>
      </c>
      <c r="G12" s="26" t="n">
        <f aca="false">F12/D12</f>
        <v>4.32727272727273</v>
      </c>
    </row>
    <row r="13" customFormat="false" ht="15" hidden="false" customHeight="false" outlineLevel="0" collapsed="false">
      <c r="A13" s="18" t="s">
        <v>64</v>
      </c>
      <c r="B13" s="18" t="s">
        <v>127</v>
      </c>
      <c r="C13" s="13" t="n">
        <f aca="false">Assumptions!$D$23</f>
        <v>26</v>
      </c>
      <c r="D13" s="25" t="n">
        <f aca="false">Assumptions!$D$23</f>
        <v>26</v>
      </c>
      <c r="E13" s="11" t="s">
        <v>128</v>
      </c>
      <c r="F13" s="13" t="n">
        <f aca="false">Assumptions!$B$9</f>
        <v>83.09</v>
      </c>
      <c r="G13" s="26" t="n">
        <f aca="false">F13/D13</f>
        <v>3.19576923076923</v>
      </c>
    </row>
    <row r="14" customFormat="false" ht="15" hidden="false" customHeight="false" outlineLevel="0" collapsed="false">
      <c r="A14" s="18" t="s">
        <v>64</v>
      </c>
      <c r="B14" s="18" t="s">
        <v>129</v>
      </c>
      <c r="C14" s="13" t="n">
        <f aca="false">Assumptions!$E$23</f>
        <v>7</v>
      </c>
      <c r="D14" s="25" t="n">
        <f aca="false">Assumptions!$E$23</f>
        <v>7</v>
      </c>
      <c r="E14" s="11" t="s">
        <v>130</v>
      </c>
      <c r="F14" s="13" t="n">
        <f aca="false">Assumptions!$B$15</f>
        <v>10.6</v>
      </c>
      <c r="G14" s="26" t="n">
        <f aca="false">F14/D14</f>
        <v>1.51428571428571</v>
      </c>
    </row>
    <row r="15" customFormat="false" ht="15" hidden="false" customHeight="false" outlineLevel="0" collapsed="false">
      <c r="A15" s="18" t="s">
        <v>66</v>
      </c>
      <c r="B15" s="18" t="s">
        <v>125</v>
      </c>
      <c r="C15" s="13" t="n">
        <f aca="false">Assumptions!$B$24</f>
        <v>13</v>
      </c>
      <c r="D15" s="25" t="n">
        <f aca="false">Assumptions!$B$24*(1-Assumptions!$B$17)</f>
        <v>12.48</v>
      </c>
      <c r="E15" s="11" t="s">
        <v>126</v>
      </c>
      <c r="F15" s="13" t="n">
        <f aca="false">Assumptions!$B$7</f>
        <v>102.12</v>
      </c>
      <c r="G15" s="26" t="n">
        <f aca="false">F15/D15</f>
        <v>8.18269230769231</v>
      </c>
    </row>
    <row r="16" customFormat="false" ht="15" hidden="false" customHeight="false" outlineLevel="0" collapsed="false">
      <c r="A16" s="18" t="s">
        <v>66</v>
      </c>
      <c r="B16" s="18" t="s">
        <v>131</v>
      </c>
      <c r="C16" s="13" t="n">
        <f aca="false">Assumptions!$C$24</f>
        <v>19</v>
      </c>
      <c r="D16" s="25" t="n">
        <f aca="false">Assumptions!$C$24</f>
        <v>19</v>
      </c>
      <c r="E16" s="11" t="s">
        <v>126</v>
      </c>
      <c r="F16" s="13" t="n">
        <f aca="false">Assumptions!$B$8</f>
        <v>95.2</v>
      </c>
      <c r="G16" s="26" t="n">
        <f aca="false">F16/D16</f>
        <v>5.01052631578947</v>
      </c>
    </row>
    <row r="17" customFormat="false" ht="15" hidden="false" customHeight="false" outlineLevel="0" collapsed="false">
      <c r="A17" s="18" t="s">
        <v>66</v>
      </c>
      <c r="B17" s="18" t="s">
        <v>127</v>
      </c>
      <c r="C17" s="13" t="n">
        <f aca="false">Assumptions!$D$24</f>
        <v>22</v>
      </c>
      <c r="D17" s="25" t="n">
        <f aca="false">Assumptions!$D$24</f>
        <v>22</v>
      </c>
      <c r="E17" s="11" t="s">
        <v>128</v>
      </c>
      <c r="F17" s="13" t="n">
        <f aca="false">Assumptions!$B$9</f>
        <v>83.09</v>
      </c>
      <c r="G17" s="26" t="n">
        <f aca="false">F17/D17</f>
        <v>3.77681818181818</v>
      </c>
    </row>
    <row r="18" customFormat="false" ht="15" hidden="false" customHeight="false" outlineLevel="0" collapsed="false">
      <c r="A18" s="18" t="s">
        <v>66</v>
      </c>
      <c r="B18" s="18" t="s">
        <v>129</v>
      </c>
      <c r="C18" s="13" t="n">
        <f aca="false">Assumptions!$E$24</f>
        <v>6.5</v>
      </c>
      <c r="D18" s="25" t="n">
        <f aca="false">Assumptions!$E$24</f>
        <v>6.5</v>
      </c>
      <c r="E18" s="11" t="s">
        <v>130</v>
      </c>
      <c r="F18" s="13" t="n">
        <f aca="false">Assumptions!$B$15</f>
        <v>10.6</v>
      </c>
      <c r="G18" s="26" t="n">
        <f aca="false">F18/D18</f>
        <v>1.63076923076923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4" min="2" style="0" width="10"/>
    <col collapsed="false" customWidth="true" hidden="false" outlineLevel="0" max="7" min="5" style="0" width="12"/>
    <col collapsed="false" customWidth="true" hidden="false" outlineLevel="0" max="8" min="8" style="0" width="16"/>
  </cols>
  <sheetData>
    <row r="1" customFormat="false" ht="17.35" hidden="false" customHeight="false" outlineLevel="0" collapsed="false">
      <c r="A1" s="1" t="s">
        <v>132</v>
      </c>
    </row>
    <row r="2" customFormat="false" ht="15" hidden="false" customHeight="false" outlineLevel="0" collapsed="false">
      <c r="A2" s="5" t="s">
        <v>133</v>
      </c>
    </row>
    <row r="4" customFormat="false" ht="15" hidden="false" customHeight="false" outlineLevel="0" collapsed="false">
      <c r="A4" s="24" t="s">
        <v>134</v>
      </c>
      <c r="B4" s="24" t="s">
        <v>135</v>
      </c>
      <c r="C4" s="24" t="s">
        <v>136</v>
      </c>
      <c r="D4" s="24" t="s">
        <v>137</v>
      </c>
      <c r="E4" s="24" t="s">
        <v>138</v>
      </c>
      <c r="F4" s="24" t="s">
        <v>139</v>
      </c>
      <c r="G4" s="24" t="s">
        <v>140</v>
      </c>
      <c r="H4" s="24" t="s">
        <v>141</v>
      </c>
    </row>
    <row r="5" customFormat="false" ht="15" hidden="false" customHeight="false" outlineLevel="0" collapsed="false">
      <c r="A5" s="18" t="s">
        <v>59</v>
      </c>
      <c r="B5" s="13" t="n">
        <f aca="false">Assumptions!$B$21</f>
        <v>55</v>
      </c>
      <c r="C5" s="25" t="n">
        <f aca="false">Assumptions!$B$21*(1-Assumptions!$B$16)</f>
        <v>53.9</v>
      </c>
      <c r="D5" s="25" t="n">
        <f aca="false">Assumptions!$B$21*(1-Assumptions!$B$17)</f>
        <v>52.8</v>
      </c>
      <c r="E5" s="25" t="n">
        <f aca="false">Assumptions!$B$7/Assumptions!$B$21</f>
        <v>1.85672727272727</v>
      </c>
      <c r="F5" s="25" t="n">
        <f aca="false">Assumptions!$B$7/D5</f>
        <v>1.93409090909091</v>
      </c>
      <c r="G5" s="26" t="n">
        <f aca="false">F5-E5</f>
        <v>0.0773636363636365</v>
      </c>
      <c r="H5" s="27" t="n">
        <f aca="false">G5*Assumptions!$B$46</f>
        <v>1160.45454545455</v>
      </c>
    </row>
    <row r="6" customFormat="false" ht="15" hidden="false" customHeight="false" outlineLevel="0" collapsed="false">
      <c r="A6" s="18" t="s">
        <v>62</v>
      </c>
      <c r="B6" s="13" t="n">
        <f aca="false">Assumptions!$B$22</f>
        <v>16</v>
      </c>
      <c r="C6" s="25" t="n">
        <f aca="false">Assumptions!$B$22*(1-Assumptions!$B$16)</f>
        <v>15.68</v>
      </c>
      <c r="D6" s="25" t="n">
        <f aca="false">Assumptions!$B$22*(1-Assumptions!$B$17)</f>
        <v>15.36</v>
      </c>
      <c r="E6" s="25" t="n">
        <f aca="false">Assumptions!$B$7/Assumptions!$B$22</f>
        <v>6.3825</v>
      </c>
      <c r="F6" s="25" t="n">
        <f aca="false">Assumptions!$B$7/D6</f>
        <v>6.6484375</v>
      </c>
      <c r="G6" s="26" t="n">
        <f aca="false">F6-E6</f>
        <v>0.265937500000001</v>
      </c>
      <c r="H6" s="27" t="n">
        <f aca="false">G6*Assumptions!$B$46</f>
        <v>3989.06250000001</v>
      </c>
    </row>
    <row r="7" customFormat="false" ht="15" hidden="false" customHeight="false" outlineLevel="0" collapsed="false">
      <c r="A7" s="18" t="s">
        <v>64</v>
      </c>
      <c r="B7" s="13" t="n">
        <f aca="false">Assumptions!$B$23</f>
        <v>15</v>
      </c>
      <c r="C7" s="25" t="n">
        <f aca="false">Assumptions!$B$23*(1-Assumptions!$B$16)</f>
        <v>14.7</v>
      </c>
      <c r="D7" s="25" t="n">
        <f aca="false">Assumptions!$B$23*(1-Assumptions!$B$17)</f>
        <v>14.4</v>
      </c>
      <c r="E7" s="25" t="n">
        <f aca="false">Assumptions!$B$7/Assumptions!$B$23</f>
        <v>6.808</v>
      </c>
      <c r="F7" s="25" t="n">
        <f aca="false">Assumptions!$B$7/D7</f>
        <v>7.09166666666667</v>
      </c>
      <c r="G7" s="26" t="n">
        <f aca="false">F7-E7</f>
        <v>0.283666666666667</v>
      </c>
      <c r="H7" s="27" t="n">
        <f aca="false">G7*Assumptions!$B$46</f>
        <v>4255.00000000001</v>
      </c>
    </row>
    <row r="8" customFormat="false" ht="15" hidden="false" customHeight="false" outlineLevel="0" collapsed="false">
      <c r="A8" s="18" t="s">
        <v>66</v>
      </c>
      <c r="B8" s="13" t="n">
        <f aca="false">Assumptions!$B$24</f>
        <v>13</v>
      </c>
      <c r="C8" s="25" t="n">
        <f aca="false">Assumptions!$B$24*(1-Assumptions!$B$16)</f>
        <v>12.74</v>
      </c>
      <c r="D8" s="25" t="n">
        <f aca="false">Assumptions!$B$24*(1-Assumptions!$B$17)</f>
        <v>12.48</v>
      </c>
      <c r="E8" s="25" t="n">
        <f aca="false">Assumptions!$B$7/Assumptions!$B$24</f>
        <v>7.85538461538462</v>
      </c>
      <c r="F8" s="25" t="n">
        <f aca="false">Assumptions!$B$7/D8</f>
        <v>8.18269230769231</v>
      </c>
      <c r="G8" s="26" t="n">
        <f aca="false">F8-E8</f>
        <v>0.327307692307692</v>
      </c>
      <c r="H8" s="27" t="n">
        <f aca="false">G8*Assumptions!$B$46</f>
        <v>4909.61538461539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12"/>
    <col collapsed="false" customWidth="true" hidden="false" outlineLevel="0" max="3" min="3" style="0" width="10"/>
    <col collapsed="false" customWidth="true" hidden="false" outlineLevel="0" max="5" min="4" style="0" width="9"/>
    <col collapsed="false" customWidth="true" hidden="false" outlineLevel="0" max="8" min="6" style="0" width="12"/>
    <col collapsed="false" customWidth="true" hidden="false" outlineLevel="0" max="9" min="9" style="0" width="14"/>
    <col collapsed="false" customWidth="true" hidden="false" outlineLevel="0" max="10" min="10" style="0" width="13"/>
    <col collapsed="false" customWidth="true" hidden="false" outlineLevel="0" max="11" min="11" style="0" width="16"/>
    <col collapsed="false" customWidth="true" hidden="false" outlineLevel="0" max="12" min="12" style="0" width="11"/>
  </cols>
  <sheetData>
    <row r="1" customFormat="false" ht="17.35" hidden="false" customHeight="false" outlineLevel="0" collapsed="false">
      <c r="A1" s="1" t="s">
        <v>142</v>
      </c>
    </row>
    <row r="2" customFormat="false" ht="15" hidden="false" customHeight="false" outlineLevel="0" collapsed="false">
      <c r="A2" s="5" t="s">
        <v>143</v>
      </c>
    </row>
    <row r="4" customFormat="false" ht="39.75" hidden="false" customHeight="true" outlineLevel="0" collapsed="false">
      <c r="A4" s="28" t="s">
        <v>144</v>
      </c>
      <c r="B4" s="28" t="s">
        <v>134</v>
      </c>
      <c r="C4" s="28" t="s">
        <v>120</v>
      </c>
      <c r="D4" s="28" t="s">
        <v>145</v>
      </c>
      <c r="E4" s="28" t="s">
        <v>146</v>
      </c>
      <c r="F4" s="28" t="s">
        <v>147</v>
      </c>
      <c r="G4" s="28" t="s">
        <v>148</v>
      </c>
      <c r="H4" s="28" t="s">
        <v>149</v>
      </c>
      <c r="I4" s="28" t="s">
        <v>150</v>
      </c>
      <c r="J4" s="28" t="s">
        <v>151</v>
      </c>
      <c r="K4" s="28" t="s">
        <v>152</v>
      </c>
      <c r="L4" s="28" t="s">
        <v>153</v>
      </c>
    </row>
    <row r="5" customFormat="false" ht="15" hidden="false" customHeight="false" outlineLevel="0" collapsed="false">
      <c r="A5" s="11" t="s">
        <v>154</v>
      </c>
      <c r="B5" s="11" t="s">
        <v>59</v>
      </c>
      <c r="C5" s="11" t="s">
        <v>125</v>
      </c>
      <c r="D5" s="29" t="n">
        <f aca="false">Assumptions!$B$45</f>
        <v>8000</v>
      </c>
      <c r="E5" s="13" t="n">
        <f aca="false">CostPerKm!$G$5</f>
        <v>1.93409090909091</v>
      </c>
      <c r="F5" s="30" t="n">
        <f aca="false">D5*E5</f>
        <v>15472.7272727273</v>
      </c>
      <c r="G5" s="29" t="n">
        <f aca="false">Assumptions!$B$36</f>
        <v>2000</v>
      </c>
      <c r="H5" s="27" t="n">
        <f aca="false">F5+G5</f>
        <v>17472.7272727273</v>
      </c>
      <c r="I5" s="30" t="n">
        <f aca="false">0</f>
        <v>0</v>
      </c>
      <c r="J5" s="30" t="n">
        <f aca="false">I5+H5*Assumptions!$B$48</f>
        <v>87363.6363636364</v>
      </c>
      <c r="K5" s="30" t="n">
        <f aca="false">($D5*CostPerKm!$G$5+Assumptions!$B$36)-H5</f>
        <v>0</v>
      </c>
      <c r="L5" s="31" t="str">
        <f aca="false">IF(K5&lt;=0,"never",IF(I5=0,0,I5/K5))</f>
        <v>never</v>
      </c>
    </row>
    <row r="6" customFormat="false" ht="15" hidden="false" customHeight="false" outlineLevel="0" collapsed="false">
      <c r="A6" s="11" t="s">
        <v>154</v>
      </c>
      <c r="B6" s="11" t="s">
        <v>59</v>
      </c>
      <c r="C6" s="11" t="s">
        <v>127</v>
      </c>
      <c r="D6" s="29" t="n">
        <f aca="false">Assumptions!$B$45</f>
        <v>8000</v>
      </c>
      <c r="E6" s="13" t="n">
        <f aca="false">CostPerKm!$G$6</f>
        <v>0.814607843137255</v>
      </c>
      <c r="F6" s="30" t="n">
        <f aca="false">D6*E6</f>
        <v>6516.86274509804</v>
      </c>
      <c r="G6" s="29" t="n">
        <f aca="false">Assumptions!$B$37</f>
        <v>2600</v>
      </c>
      <c r="H6" s="27" t="n">
        <f aca="false">F6+G6</f>
        <v>9116.86274509804</v>
      </c>
      <c r="I6" s="29" t="n">
        <f aca="false">Assumptions!$D$29</f>
        <v>15000</v>
      </c>
      <c r="J6" s="30" t="n">
        <f aca="false">I6+H6*Assumptions!$B$48</f>
        <v>60584.3137254902</v>
      </c>
      <c r="K6" s="30" t="n">
        <f aca="false">($D6*CostPerKm!$G$5+Assumptions!$B$36)-H6</f>
        <v>8355.86452762923</v>
      </c>
      <c r="L6" s="31" t="n">
        <f aca="false">IF(K6&lt;=0,"never",IF(I6=0,0,I6/K6))</f>
        <v>1.7951463849613</v>
      </c>
    </row>
    <row r="7" customFormat="false" ht="15" hidden="false" customHeight="false" outlineLevel="0" collapsed="false">
      <c r="A7" s="11" t="s">
        <v>154</v>
      </c>
      <c r="B7" s="11" t="s">
        <v>59</v>
      </c>
      <c r="C7" s="11" t="s">
        <v>129</v>
      </c>
      <c r="D7" s="29" t="n">
        <f aca="false">Assumptions!$B$45</f>
        <v>8000</v>
      </c>
      <c r="E7" s="13" t="n">
        <f aca="false">CostPerKm!$G$7</f>
        <v>0.353333333333333</v>
      </c>
      <c r="F7" s="30" t="n">
        <f aca="false">D7*E7</f>
        <v>2826.66666666667</v>
      </c>
      <c r="G7" s="29" t="n">
        <f aca="false">Assumptions!$B$38</f>
        <v>1000</v>
      </c>
      <c r="H7" s="27" t="n">
        <f aca="false">F7+G7</f>
        <v>3826.66666666667</v>
      </c>
      <c r="I7" s="29" t="n">
        <f aca="false">Assumptions!$E$29</f>
        <v>45000</v>
      </c>
      <c r="J7" s="30" t="n">
        <f aca="false">I7+H7*Assumptions!$B$48</f>
        <v>64133.3333333333</v>
      </c>
      <c r="K7" s="30" t="n">
        <f aca="false">($D7*CostPerKm!$G$5+Assumptions!$B$36)-H7</f>
        <v>13646.0606060606</v>
      </c>
      <c r="L7" s="31" t="n">
        <f aca="false">IF(K7&lt;=0,"never",IF(I7=0,0,I7/K7))</f>
        <v>3.29765500088826</v>
      </c>
    </row>
    <row r="8" customFormat="false" ht="15" hidden="false" customHeight="false" outlineLevel="0" collapsed="false">
      <c r="A8" s="11" t="s">
        <v>154</v>
      </c>
      <c r="B8" s="11" t="s">
        <v>62</v>
      </c>
      <c r="C8" s="11" t="s">
        <v>125</v>
      </c>
      <c r="D8" s="29" t="n">
        <f aca="false">Assumptions!$B$45</f>
        <v>8000</v>
      </c>
      <c r="E8" s="13" t="n">
        <f aca="false">CostPerKm!$G$8</f>
        <v>6.6484375</v>
      </c>
      <c r="F8" s="30" t="n">
        <f aca="false">D8*E8</f>
        <v>53187.5</v>
      </c>
      <c r="G8" s="29" t="n">
        <f aca="false">Assumptions!$B$39</f>
        <v>6000</v>
      </c>
      <c r="H8" s="27" t="n">
        <f aca="false">F8+G8</f>
        <v>59187.5</v>
      </c>
      <c r="I8" s="30" t="n">
        <f aca="false">0</f>
        <v>0</v>
      </c>
      <c r="J8" s="30" t="n">
        <f aca="false">I8+H8*Assumptions!$B$48</f>
        <v>295937.5</v>
      </c>
      <c r="K8" s="30" t="n">
        <f aca="false">($D8*CostPerKm!$G$8+Assumptions!$B$39)-H8</f>
        <v>0</v>
      </c>
      <c r="L8" s="31" t="str">
        <f aca="false">IF(K8&lt;=0,"never",IF(I8=0,0,I8/K8))</f>
        <v>never</v>
      </c>
    </row>
    <row r="9" customFormat="false" ht="15" hidden="false" customHeight="false" outlineLevel="0" collapsed="false">
      <c r="A9" s="11" t="s">
        <v>154</v>
      </c>
      <c r="B9" s="11" t="s">
        <v>62</v>
      </c>
      <c r="C9" s="11" t="s">
        <v>127</v>
      </c>
      <c r="D9" s="29" t="n">
        <f aca="false">Assumptions!$B$45</f>
        <v>8000</v>
      </c>
      <c r="E9" s="13" t="n">
        <f aca="false">CostPerKm!$G$9</f>
        <v>2.9675</v>
      </c>
      <c r="F9" s="30" t="n">
        <f aca="false">D9*E9</f>
        <v>23740</v>
      </c>
      <c r="G9" s="29" t="n">
        <f aca="false">Assumptions!$B$41</f>
        <v>8500</v>
      </c>
      <c r="H9" s="27" t="n">
        <f aca="false">F9+G9</f>
        <v>32240</v>
      </c>
      <c r="I9" s="29" t="n">
        <f aca="false">Assumptions!$D$30</f>
        <v>90000</v>
      </c>
      <c r="J9" s="30" t="n">
        <f aca="false">I9+H9*Assumptions!$B$48</f>
        <v>251200</v>
      </c>
      <c r="K9" s="30" t="n">
        <f aca="false">($D9*CostPerKm!$G$8+Assumptions!$B$39)-H9</f>
        <v>26947.5</v>
      </c>
      <c r="L9" s="31" t="n">
        <f aca="false">IF(K9&lt;=0,"never",IF(I9=0,0,I9/K9))</f>
        <v>3.33982744224882</v>
      </c>
    </row>
    <row r="10" customFormat="false" ht="15" hidden="false" customHeight="false" outlineLevel="0" collapsed="false">
      <c r="A10" s="11" t="s">
        <v>154</v>
      </c>
      <c r="B10" s="11" t="s">
        <v>62</v>
      </c>
      <c r="C10" s="11" t="s">
        <v>129</v>
      </c>
      <c r="D10" s="29" t="n">
        <f aca="false">Assumptions!$B$45</f>
        <v>8000</v>
      </c>
      <c r="E10" s="13" t="n">
        <f aca="false">CostPerKm!$G$10</f>
        <v>1.41333333333333</v>
      </c>
      <c r="F10" s="30" t="n">
        <f aca="false">D10*E10</f>
        <v>11306.6666666667</v>
      </c>
      <c r="G10" s="29" t="n">
        <f aca="false">Assumptions!$B$42</f>
        <v>3500</v>
      </c>
      <c r="H10" s="27" t="n">
        <f aca="false">F10+G10</f>
        <v>14806.6666666667</v>
      </c>
      <c r="I10" s="29" t="n">
        <f aca="false">Assumptions!$E$30</f>
        <v>450000</v>
      </c>
      <c r="J10" s="30" t="n">
        <f aca="false">I10+H10*Assumptions!$B$48</f>
        <v>524033.333333333</v>
      </c>
      <c r="K10" s="30" t="n">
        <f aca="false">($D10*CostPerKm!$G$8+Assumptions!$B$39)-H10</f>
        <v>44380.8333333333</v>
      </c>
      <c r="L10" s="31" t="n">
        <f aca="false">IF(K10&lt;=0,"never",IF(I10=0,0,I10/K10))</f>
        <v>10.139512176803</v>
      </c>
    </row>
    <row r="11" customFormat="false" ht="15" hidden="false" customHeight="false" outlineLevel="0" collapsed="false">
      <c r="A11" s="11" t="s">
        <v>154</v>
      </c>
      <c r="B11" s="11" t="s">
        <v>64</v>
      </c>
      <c r="C11" s="11" t="s">
        <v>125</v>
      </c>
      <c r="D11" s="29" t="n">
        <f aca="false">Assumptions!$B$45</f>
        <v>8000</v>
      </c>
      <c r="E11" s="13" t="n">
        <f aca="false">CostPerKm!$G$11</f>
        <v>7.09166666666667</v>
      </c>
      <c r="F11" s="30" t="n">
        <f aca="false">D11*E11</f>
        <v>56733.3333333333</v>
      </c>
      <c r="G11" s="29" t="n">
        <f aca="false">Assumptions!$B$39</f>
        <v>6000</v>
      </c>
      <c r="H11" s="27" t="n">
        <f aca="false">F11+G11</f>
        <v>62733.3333333333</v>
      </c>
      <c r="I11" s="30" t="n">
        <f aca="false">0</f>
        <v>0</v>
      </c>
      <c r="J11" s="30" t="n">
        <f aca="false">I11+H11*Assumptions!$B$48</f>
        <v>313666.666666667</v>
      </c>
      <c r="K11" s="30" t="n">
        <f aca="false">($D11*CostPerKm!$G$11+Assumptions!$B$39)-H11</f>
        <v>0</v>
      </c>
      <c r="L11" s="31" t="str">
        <f aca="false">IF(K11&lt;=0,"never",IF(I11=0,0,I11/K11))</f>
        <v>never</v>
      </c>
    </row>
    <row r="12" customFormat="false" ht="15" hidden="false" customHeight="false" outlineLevel="0" collapsed="false">
      <c r="A12" s="11" t="s">
        <v>154</v>
      </c>
      <c r="B12" s="11" t="s">
        <v>64</v>
      </c>
      <c r="C12" s="11" t="s">
        <v>131</v>
      </c>
      <c r="D12" s="29" t="n">
        <f aca="false">Assumptions!$B$45</f>
        <v>8000</v>
      </c>
      <c r="E12" s="13" t="n">
        <f aca="false">CostPerKm!$G$12</f>
        <v>4.32727272727273</v>
      </c>
      <c r="F12" s="30" t="n">
        <f aca="false">D12*E12</f>
        <v>34618.1818181818</v>
      </c>
      <c r="G12" s="29" t="n">
        <f aca="false">Assumptions!$B$40</f>
        <v>9000</v>
      </c>
      <c r="H12" s="27" t="n">
        <f aca="false">F12+G12</f>
        <v>43618.1818181818</v>
      </c>
      <c r="I12" s="29" t="n">
        <f aca="false">Assumptions!$C$31</f>
        <v>120000</v>
      </c>
      <c r="J12" s="30" t="n">
        <f aca="false">I12+H12*Assumptions!$B$48</f>
        <v>338090.909090909</v>
      </c>
      <c r="K12" s="30" t="n">
        <f aca="false">($D12*CostPerKm!$G$11+Assumptions!$B$39)-H12</f>
        <v>19115.1515151515</v>
      </c>
      <c r="L12" s="31" t="n">
        <f aca="false">IF(K12&lt;=0,"never",IF(I12=0,0,I12/K12))</f>
        <v>6.27774254914394</v>
      </c>
    </row>
    <row r="13" customFormat="false" ht="15" hidden="false" customHeight="false" outlineLevel="0" collapsed="false">
      <c r="A13" s="11" t="s">
        <v>154</v>
      </c>
      <c r="B13" s="11" t="s">
        <v>64</v>
      </c>
      <c r="C13" s="11" t="s">
        <v>127</v>
      </c>
      <c r="D13" s="29" t="n">
        <f aca="false">Assumptions!$B$45</f>
        <v>8000</v>
      </c>
      <c r="E13" s="13" t="n">
        <f aca="false">CostPerKm!$G$13</f>
        <v>3.19576923076923</v>
      </c>
      <c r="F13" s="30" t="n">
        <f aca="false">D13*E13</f>
        <v>25566.1538461538</v>
      </c>
      <c r="G13" s="29" t="n">
        <f aca="false">Assumptions!$B$41</f>
        <v>8500</v>
      </c>
      <c r="H13" s="27" t="n">
        <f aca="false">F13+G13</f>
        <v>34066.1538461538</v>
      </c>
      <c r="I13" s="29" t="n">
        <f aca="false">Assumptions!$D$31</f>
        <v>95000</v>
      </c>
      <c r="J13" s="30" t="n">
        <f aca="false">I13+H13*Assumptions!$B$48</f>
        <v>265330.769230769</v>
      </c>
      <c r="K13" s="30" t="n">
        <f aca="false">($D13*CostPerKm!$G$11+Assumptions!$B$39)-H13</f>
        <v>28667.1794871795</v>
      </c>
      <c r="L13" s="31" t="n">
        <f aca="false">IF(K13&lt;=0,"never",IF(I13=0,0,I13/K13))</f>
        <v>3.31389420582816</v>
      </c>
    </row>
    <row r="14" customFormat="false" ht="15" hidden="false" customHeight="false" outlineLevel="0" collapsed="false">
      <c r="A14" s="11" t="s">
        <v>154</v>
      </c>
      <c r="B14" s="11" t="s">
        <v>64</v>
      </c>
      <c r="C14" s="11" t="s">
        <v>129</v>
      </c>
      <c r="D14" s="29" t="n">
        <f aca="false">Assumptions!$B$45</f>
        <v>8000</v>
      </c>
      <c r="E14" s="13" t="n">
        <f aca="false">CostPerKm!$G$14</f>
        <v>1.51428571428571</v>
      </c>
      <c r="F14" s="30" t="n">
        <f aca="false">D14*E14</f>
        <v>12114.2857142857</v>
      </c>
      <c r="G14" s="29" t="n">
        <f aca="false">Assumptions!$B$42</f>
        <v>3500</v>
      </c>
      <c r="H14" s="27" t="n">
        <f aca="false">F14+G14</f>
        <v>15614.2857142857</v>
      </c>
      <c r="I14" s="29" t="n">
        <f aca="false">Assumptions!$E$31</f>
        <v>500000</v>
      </c>
      <c r="J14" s="30" t="n">
        <f aca="false">I14+H14*Assumptions!$B$48</f>
        <v>578071.428571429</v>
      </c>
      <c r="K14" s="30" t="n">
        <f aca="false">($D14*CostPerKm!$G$11+Assumptions!$B$39)-H14</f>
        <v>47119.0476190476</v>
      </c>
      <c r="L14" s="31" t="n">
        <f aca="false">IF(K14&lt;=0,"never",IF(I14=0,0,I14/K14))</f>
        <v>10.611419909045</v>
      </c>
    </row>
    <row r="15" customFormat="false" ht="15" hidden="false" customHeight="false" outlineLevel="0" collapsed="false">
      <c r="A15" s="11" t="s">
        <v>154</v>
      </c>
      <c r="B15" s="11" t="s">
        <v>66</v>
      </c>
      <c r="C15" s="11" t="s">
        <v>125</v>
      </c>
      <c r="D15" s="29" t="n">
        <f aca="false">Assumptions!$B$45</f>
        <v>8000</v>
      </c>
      <c r="E15" s="13" t="n">
        <f aca="false">CostPerKm!$G$15</f>
        <v>8.18269230769231</v>
      </c>
      <c r="F15" s="30" t="n">
        <f aca="false">D15*E15</f>
        <v>65461.5384615385</v>
      </c>
      <c r="G15" s="29" t="n">
        <f aca="false">Assumptions!$B$39</f>
        <v>6000</v>
      </c>
      <c r="H15" s="27" t="n">
        <f aca="false">F15+G15</f>
        <v>71461.5384615385</v>
      </c>
      <c r="I15" s="30" t="n">
        <f aca="false">0</f>
        <v>0</v>
      </c>
      <c r="J15" s="30" t="n">
        <f aca="false">I15+H15*Assumptions!$B$48</f>
        <v>357307.692307692</v>
      </c>
      <c r="K15" s="30" t="n">
        <f aca="false">($D15*CostPerKm!$G$15+Assumptions!$B$39)-H15</f>
        <v>0</v>
      </c>
      <c r="L15" s="31" t="str">
        <f aca="false">IF(K15&lt;=0,"never",IF(I15=0,0,I15/K15))</f>
        <v>never</v>
      </c>
    </row>
    <row r="16" customFormat="false" ht="15" hidden="false" customHeight="false" outlineLevel="0" collapsed="false">
      <c r="A16" s="11" t="s">
        <v>154</v>
      </c>
      <c r="B16" s="11" t="s">
        <v>66</v>
      </c>
      <c r="C16" s="11" t="s">
        <v>131</v>
      </c>
      <c r="D16" s="29" t="n">
        <f aca="false">Assumptions!$B$45</f>
        <v>8000</v>
      </c>
      <c r="E16" s="13" t="n">
        <f aca="false">CostPerKm!$G$16</f>
        <v>5.01052631578947</v>
      </c>
      <c r="F16" s="30" t="n">
        <f aca="false">D16*E16</f>
        <v>40084.2105263158</v>
      </c>
      <c r="G16" s="29" t="n">
        <f aca="false">Assumptions!$B$40</f>
        <v>9000</v>
      </c>
      <c r="H16" s="27" t="n">
        <f aca="false">F16+G16</f>
        <v>49084.2105263158</v>
      </c>
      <c r="I16" s="29" t="n">
        <f aca="false">Assumptions!$C$32</f>
        <v>150000</v>
      </c>
      <c r="J16" s="30" t="n">
        <f aca="false">I16+H16*Assumptions!$B$48</f>
        <v>395421.052631579</v>
      </c>
      <c r="K16" s="30" t="n">
        <f aca="false">($D16*CostPerKm!$G$15+Assumptions!$B$39)-H16</f>
        <v>22377.3279352227</v>
      </c>
      <c r="L16" s="31" t="n">
        <f aca="false">IF(K16&lt;=0,"never",IF(I16=0,0,I16/K16))</f>
        <v>6.70321320017369</v>
      </c>
    </row>
    <row r="17" customFormat="false" ht="15" hidden="false" customHeight="false" outlineLevel="0" collapsed="false">
      <c r="A17" s="11" t="s">
        <v>154</v>
      </c>
      <c r="B17" s="11" t="s">
        <v>66</v>
      </c>
      <c r="C17" s="11" t="s">
        <v>127</v>
      </c>
      <c r="D17" s="29" t="n">
        <f aca="false">Assumptions!$B$45</f>
        <v>8000</v>
      </c>
      <c r="E17" s="13" t="n">
        <f aca="false">CostPerKm!$G$17</f>
        <v>3.77681818181818</v>
      </c>
      <c r="F17" s="30" t="n">
        <f aca="false">D17*E17</f>
        <v>30214.5454545455</v>
      </c>
      <c r="G17" s="29" t="n">
        <f aca="false">Assumptions!$B$41</f>
        <v>8500</v>
      </c>
      <c r="H17" s="27" t="n">
        <f aca="false">F17+G17</f>
        <v>38714.5454545455</v>
      </c>
      <c r="I17" s="29" t="n">
        <f aca="false">Assumptions!$D$32</f>
        <v>110000</v>
      </c>
      <c r="J17" s="30" t="n">
        <f aca="false">I17+H17*Assumptions!$B$48</f>
        <v>303572.727272727</v>
      </c>
      <c r="K17" s="30" t="n">
        <f aca="false">($D17*CostPerKm!$G$15+Assumptions!$B$39)-H17</f>
        <v>32746.993006993</v>
      </c>
      <c r="L17" s="31" t="n">
        <f aca="false">IF(K17&lt;=0,"never",IF(I17=0,0,I17/K17))</f>
        <v>3.3590870458399</v>
      </c>
    </row>
    <row r="18" customFormat="false" ht="15" hidden="false" customHeight="false" outlineLevel="0" collapsed="false">
      <c r="A18" s="11" t="s">
        <v>154</v>
      </c>
      <c r="B18" s="11" t="s">
        <v>66</v>
      </c>
      <c r="C18" s="11" t="s">
        <v>129</v>
      </c>
      <c r="D18" s="29" t="n">
        <f aca="false">Assumptions!$B$45</f>
        <v>8000</v>
      </c>
      <c r="E18" s="13" t="n">
        <f aca="false">CostPerKm!$G$18</f>
        <v>1.63076923076923</v>
      </c>
      <c r="F18" s="30" t="n">
        <f aca="false">D18*E18</f>
        <v>13046.1538461538</v>
      </c>
      <c r="G18" s="29" t="n">
        <f aca="false">Assumptions!$B$42</f>
        <v>3500</v>
      </c>
      <c r="H18" s="27" t="n">
        <f aca="false">F18+G18</f>
        <v>16546.1538461538</v>
      </c>
      <c r="I18" s="29" t="n">
        <f aca="false">Assumptions!$E$32</f>
        <v>400000</v>
      </c>
      <c r="J18" s="30" t="n">
        <f aca="false">I18+H18*Assumptions!$B$48</f>
        <v>482730.769230769</v>
      </c>
      <c r="K18" s="30" t="n">
        <f aca="false">($D18*CostPerKm!$G$15+Assumptions!$B$39)-H18</f>
        <v>54915.3846153846</v>
      </c>
      <c r="L18" s="31" t="n">
        <f aca="false">IF(K18&lt;=0,"never",IF(I18=0,0,I18/K18))</f>
        <v>7.28393332399496</v>
      </c>
    </row>
    <row r="19" customFormat="false" ht="15" hidden="false" customHeight="false" outlineLevel="0" collapsed="false">
      <c r="A19" s="11" t="s">
        <v>155</v>
      </c>
      <c r="B19" s="11" t="s">
        <v>59</v>
      </c>
      <c r="C19" s="11" t="s">
        <v>125</v>
      </c>
      <c r="D19" s="29" t="n">
        <f aca="false">Assumptions!$B$46</f>
        <v>15000</v>
      </c>
      <c r="E19" s="13" t="n">
        <f aca="false">CostPerKm!$G$5</f>
        <v>1.93409090909091</v>
      </c>
      <c r="F19" s="30" t="n">
        <f aca="false">D19*E19</f>
        <v>29011.3636363636</v>
      </c>
      <c r="G19" s="29" t="n">
        <f aca="false">Assumptions!$B$36</f>
        <v>2000</v>
      </c>
      <c r="H19" s="27" t="n">
        <f aca="false">F19+G19</f>
        <v>31011.3636363636</v>
      </c>
      <c r="I19" s="30" t="n">
        <f aca="false">0</f>
        <v>0</v>
      </c>
      <c r="J19" s="30" t="n">
        <f aca="false">I19+H19*Assumptions!$B$48</f>
        <v>155056.818181818</v>
      </c>
      <c r="K19" s="30" t="n">
        <f aca="false">($D19*CostPerKm!$G$5+Assumptions!$B$36)-H19</f>
        <v>0</v>
      </c>
      <c r="L19" s="31" t="str">
        <f aca="false">IF(K19&lt;=0,"never",IF(I19=0,0,I19/K19))</f>
        <v>never</v>
      </c>
    </row>
    <row r="20" customFormat="false" ht="15" hidden="false" customHeight="false" outlineLevel="0" collapsed="false">
      <c r="A20" s="11" t="s">
        <v>155</v>
      </c>
      <c r="B20" s="11" t="s">
        <v>59</v>
      </c>
      <c r="C20" s="11" t="s">
        <v>127</v>
      </c>
      <c r="D20" s="29" t="n">
        <f aca="false">Assumptions!$B$46</f>
        <v>15000</v>
      </c>
      <c r="E20" s="13" t="n">
        <f aca="false">CostPerKm!$G$6</f>
        <v>0.814607843137255</v>
      </c>
      <c r="F20" s="30" t="n">
        <f aca="false">D20*E20</f>
        <v>12219.1176470588</v>
      </c>
      <c r="G20" s="29" t="n">
        <f aca="false">Assumptions!$B$37</f>
        <v>2600</v>
      </c>
      <c r="H20" s="27" t="n">
        <f aca="false">F20+G20</f>
        <v>14819.1176470588</v>
      </c>
      <c r="I20" s="29" t="n">
        <f aca="false">Assumptions!$D$29</f>
        <v>15000</v>
      </c>
      <c r="J20" s="30" t="n">
        <f aca="false">I20+H20*Assumptions!$B$48</f>
        <v>89095.5882352941</v>
      </c>
      <c r="K20" s="30" t="n">
        <f aca="false">($D20*CostPerKm!$G$5+Assumptions!$B$36)-H20</f>
        <v>16192.2459893048</v>
      </c>
      <c r="L20" s="31" t="n">
        <f aca="false">IF(K20&lt;=0,"never",IF(I20=0,0,I20/K20))</f>
        <v>0.926369325781469</v>
      </c>
    </row>
    <row r="21" customFormat="false" ht="15" hidden="false" customHeight="false" outlineLevel="0" collapsed="false">
      <c r="A21" s="11" t="s">
        <v>155</v>
      </c>
      <c r="B21" s="11" t="s">
        <v>59</v>
      </c>
      <c r="C21" s="11" t="s">
        <v>129</v>
      </c>
      <c r="D21" s="29" t="n">
        <f aca="false">Assumptions!$B$46</f>
        <v>15000</v>
      </c>
      <c r="E21" s="13" t="n">
        <f aca="false">CostPerKm!$G$7</f>
        <v>0.353333333333333</v>
      </c>
      <c r="F21" s="30" t="n">
        <f aca="false">D21*E21</f>
        <v>5300</v>
      </c>
      <c r="G21" s="29" t="n">
        <f aca="false">Assumptions!$B$38</f>
        <v>1000</v>
      </c>
      <c r="H21" s="27" t="n">
        <f aca="false">F21+G21</f>
        <v>6300</v>
      </c>
      <c r="I21" s="29" t="n">
        <f aca="false">Assumptions!$E$29</f>
        <v>45000</v>
      </c>
      <c r="J21" s="30" t="n">
        <f aca="false">I21+H21*Assumptions!$B$48</f>
        <v>76500</v>
      </c>
      <c r="K21" s="30" t="n">
        <f aca="false">($D21*CostPerKm!$G$5+Assumptions!$B$36)-H21</f>
        <v>24711.3636363636</v>
      </c>
      <c r="L21" s="31" t="n">
        <f aca="false">IF(K21&lt;=0,"never",IF(I21=0,0,I21/K21))</f>
        <v>1.82102455624023</v>
      </c>
    </row>
    <row r="22" customFormat="false" ht="15" hidden="false" customHeight="false" outlineLevel="0" collapsed="false">
      <c r="A22" s="11" t="s">
        <v>155</v>
      </c>
      <c r="B22" s="11" t="s">
        <v>62</v>
      </c>
      <c r="C22" s="11" t="s">
        <v>125</v>
      </c>
      <c r="D22" s="29" t="n">
        <f aca="false">Assumptions!$B$46</f>
        <v>15000</v>
      </c>
      <c r="E22" s="13" t="n">
        <f aca="false">CostPerKm!$G$8</f>
        <v>6.6484375</v>
      </c>
      <c r="F22" s="30" t="n">
        <f aca="false">D22*E22</f>
        <v>99726.5625</v>
      </c>
      <c r="G22" s="29" t="n">
        <f aca="false">Assumptions!$B$39</f>
        <v>6000</v>
      </c>
      <c r="H22" s="27" t="n">
        <f aca="false">F22+G22</f>
        <v>105726.5625</v>
      </c>
      <c r="I22" s="30" t="n">
        <f aca="false">0</f>
        <v>0</v>
      </c>
      <c r="J22" s="30" t="n">
        <f aca="false">I22+H22*Assumptions!$B$48</f>
        <v>528632.8125</v>
      </c>
      <c r="K22" s="30" t="n">
        <f aca="false">($D22*CostPerKm!$G$8+Assumptions!$B$39)-H22</f>
        <v>0</v>
      </c>
      <c r="L22" s="31" t="str">
        <f aca="false">IF(K22&lt;=0,"never",IF(I22=0,0,I22/K22))</f>
        <v>never</v>
      </c>
    </row>
    <row r="23" customFormat="false" ht="15" hidden="false" customHeight="false" outlineLevel="0" collapsed="false">
      <c r="A23" s="11" t="s">
        <v>155</v>
      </c>
      <c r="B23" s="11" t="s">
        <v>62</v>
      </c>
      <c r="C23" s="11" t="s">
        <v>127</v>
      </c>
      <c r="D23" s="29" t="n">
        <f aca="false">Assumptions!$B$46</f>
        <v>15000</v>
      </c>
      <c r="E23" s="13" t="n">
        <f aca="false">CostPerKm!$G$9</f>
        <v>2.9675</v>
      </c>
      <c r="F23" s="30" t="n">
        <f aca="false">D23*E23</f>
        <v>44512.5</v>
      </c>
      <c r="G23" s="29" t="n">
        <f aca="false">Assumptions!$B$41</f>
        <v>8500</v>
      </c>
      <c r="H23" s="27" t="n">
        <f aca="false">F23+G23</f>
        <v>53012.5</v>
      </c>
      <c r="I23" s="29" t="n">
        <f aca="false">Assumptions!$D$30</f>
        <v>90000</v>
      </c>
      <c r="J23" s="30" t="n">
        <f aca="false">I23+H23*Assumptions!$B$48</f>
        <v>355062.5</v>
      </c>
      <c r="K23" s="30" t="n">
        <f aca="false">($D23*CostPerKm!$G$8+Assumptions!$B$39)-H23</f>
        <v>52714.0625</v>
      </c>
      <c r="L23" s="31" t="n">
        <f aca="false">IF(K23&lt;=0,"never",IF(I23=0,0,I23/K23))</f>
        <v>1.70732430269437</v>
      </c>
    </row>
    <row r="24" customFormat="false" ht="15" hidden="false" customHeight="false" outlineLevel="0" collapsed="false">
      <c r="A24" s="11" t="s">
        <v>155</v>
      </c>
      <c r="B24" s="11" t="s">
        <v>62</v>
      </c>
      <c r="C24" s="11" t="s">
        <v>129</v>
      </c>
      <c r="D24" s="29" t="n">
        <f aca="false">Assumptions!$B$46</f>
        <v>15000</v>
      </c>
      <c r="E24" s="13" t="n">
        <f aca="false">CostPerKm!$G$10</f>
        <v>1.41333333333333</v>
      </c>
      <c r="F24" s="30" t="n">
        <f aca="false">D24*E24</f>
        <v>21200</v>
      </c>
      <c r="G24" s="29" t="n">
        <f aca="false">Assumptions!$B$42</f>
        <v>3500</v>
      </c>
      <c r="H24" s="27" t="n">
        <f aca="false">F24+G24</f>
        <v>24700</v>
      </c>
      <c r="I24" s="29" t="n">
        <f aca="false">Assumptions!$E$30</f>
        <v>450000</v>
      </c>
      <c r="J24" s="30" t="n">
        <f aca="false">I24+H24*Assumptions!$B$48</f>
        <v>573500</v>
      </c>
      <c r="K24" s="30" t="n">
        <f aca="false">($D24*CostPerKm!$G$8+Assumptions!$B$39)-H24</f>
        <v>81026.5625</v>
      </c>
      <c r="L24" s="31" t="n">
        <f aca="false">IF(K24&lt;=0,"never",IF(I24=0,0,I24/K24))</f>
        <v>5.55373430780801</v>
      </c>
    </row>
    <row r="25" customFormat="false" ht="15" hidden="false" customHeight="false" outlineLevel="0" collapsed="false">
      <c r="A25" s="11" t="s">
        <v>155</v>
      </c>
      <c r="B25" s="11" t="s">
        <v>64</v>
      </c>
      <c r="C25" s="11" t="s">
        <v>125</v>
      </c>
      <c r="D25" s="29" t="n">
        <f aca="false">Assumptions!$B$46</f>
        <v>15000</v>
      </c>
      <c r="E25" s="13" t="n">
        <f aca="false">CostPerKm!$G$11</f>
        <v>7.09166666666667</v>
      </c>
      <c r="F25" s="30" t="n">
        <f aca="false">D25*E25</f>
        <v>106375</v>
      </c>
      <c r="G25" s="29" t="n">
        <f aca="false">Assumptions!$B$39</f>
        <v>6000</v>
      </c>
      <c r="H25" s="27" t="n">
        <f aca="false">F25+G25</f>
        <v>112375</v>
      </c>
      <c r="I25" s="30" t="n">
        <f aca="false">0</f>
        <v>0</v>
      </c>
      <c r="J25" s="30" t="n">
        <f aca="false">I25+H25*Assumptions!$B$48</f>
        <v>561875</v>
      </c>
      <c r="K25" s="30" t="n">
        <f aca="false">($D25*CostPerKm!$G$11+Assumptions!$B$39)-H25</f>
        <v>0</v>
      </c>
      <c r="L25" s="31" t="str">
        <f aca="false">IF(K25&lt;=0,"never",IF(I25=0,0,I25/K25))</f>
        <v>never</v>
      </c>
    </row>
    <row r="26" customFormat="false" ht="15" hidden="false" customHeight="false" outlineLevel="0" collapsed="false">
      <c r="A26" s="11" t="s">
        <v>155</v>
      </c>
      <c r="B26" s="11" t="s">
        <v>64</v>
      </c>
      <c r="C26" s="11" t="s">
        <v>131</v>
      </c>
      <c r="D26" s="29" t="n">
        <f aca="false">Assumptions!$B$46</f>
        <v>15000</v>
      </c>
      <c r="E26" s="13" t="n">
        <f aca="false">CostPerKm!$G$12</f>
        <v>4.32727272727273</v>
      </c>
      <c r="F26" s="30" t="n">
        <f aca="false">D26*E26</f>
        <v>64909.0909090909</v>
      </c>
      <c r="G26" s="29" t="n">
        <f aca="false">Assumptions!$B$40</f>
        <v>9000</v>
      </c>
      <c r="H26" s="27" t="n">
        <f aca="false">F26+G26</f>
        <v>73909.0909090909</v>
      </c>
      <c r="I26" s="29" t="n">
        <f aca="false">Assumptions!$C$31</f>
        <v>120000</v>
      </c>
      <c r="J26" s="30" t="n">
        <f aca="false">I26+H26*Assumptions!$B$48</f>
        <v>489545.454545455</v>
      </c>
      <c r="K26" s="30" t="n">
        <f aca="false">($D26*CostPerKm!$G$11+Assumptions!$B$39)-H26</f>
        <v>38465.9090909091</v>
      </c>
      <c r="L26" s="31" t="n">
        <f aca="false">IF(K26&lt;=0,"never",IF(I26=0,0,I26/K26))</f>
        <v>3.11964549483013</v>
      </c>
    </row>
    <row r="27" customFormat="false" ht="15" hidden="false" customHeight="false" outlineLevel="0" collapsed="false">
      <c r="A27" s="11" t="s">
        <v>155</v>
      </c>
      <c r="B27" s="11" t="s">
        <v>64</v>
      </c>
      <c r="C27" s="11" t="s">
        <v>127</v>
      </c>
      <c r="D27" s="29" t="n">
        <f aca="false">Assumptions!$B$46</f>
        <v>15000</v>
      </c>
      <c r="E27" s="13" t="n">
        <f aca="false">CostPerKm!$G$13</f>
        <v>3.19576923076923</v>
      </c>
      <c r="F27" s="30" t="n">
        <f aca="false">D27*E27</f>
        <v>47936.5384615385</v>
      </c>
      <c r="G27" s="29" t="n">
        <f aca="false">Assumptions!$B$41</f>
        <v>8500</v>
      </c>
      <c r="H27" s="27" t="n">
        <f aca="false">F27+G27</f>
        <v>56436.5384615385</v>
      </c>
      <c r="I27" s="29" t="n">
        <f aca="false">Assumptions!$D$31</f>
        <v>95000</v>
      </c>
      <c r="J27" s="30" t="n">
        <f aca="false">I27+H27*Assumptions!$B$48</f>
        <v>377182.692307692</v>
      </c>
      <c r="K27" s="30" t="n">
        <f aca="false">($D27*CostPerKm!$G$11+Assumptions!$B$39)-H27</f>
        <v>55938.4615384616</v>
      </c>
      <c r="L27" s="31" t="n">
        <f aca="false">IF(K27&lt;=0,"never",IF(I27=0,0,I27/K27))</f>
        <v>1.69829482948295</v>
      </c>
    </row>
    <row r="28" customFormat="false" ht="15" hidden="false" customHeight="false" outlineLevel="0" collapsed="false">
      <c r="A28" s="11" t="s">
        <v>155</v>
      </c>
      <c r="B28" s="11" t="s">
        <v>64</v>
      </c>
      <c r="C28" s="11" t="s">
        <v>129</v>
      </c>
      <c r="D28" s="29" t="n">
        <f aca="false">Assumptions!$B$46</f>
        <v>15000</v>
      </c>
      <c r="E28" s="13" t="n">
        <f aca="false">CostPerKm!$G$14</f>
        <v>1.51428571428571</v>
      </c>
      <c r="F28" s="30" t="n">
        <f aca="false">D28*E28</f>
        <v>22714.2857142857</v>
      </c>
      <c r="G28" s="29" t="n">
        <f aca="false">Assumptions!$B$42</f>
        <v>3500</v>
      </c>
      <c r="H28" s="27" t="n">
        <f aca="false">F28+G28</f>
        <v>26214.2857142857</v>
      </c>
      <c r="I28" s="29" t="n">
        <f aca="false">Assumptions!$E$31</f>
        <v>500000</v>
      </c>
      <c r="J28" s="30" t="n">
        <f aca="false">I28+H28*Assumptions!$B$48</f>
        <v>631071.428571429</v>
      </c>
      <c r="K28" s="30" t="n">
        <f aca="false">($D28*CostPerKm!$G$11+Assumptions!$B$39)-H28</f>
        <v>86160.7142857143</v>
      </c>
      <c r="L28" s="31" t="n">
        <f aca="false">IF(K28&lt;=0,"never",IF(I28=0,0,I28/K28))</f>
        <v>5.80310880829015</v>
      </c>
    </row>
    <row r="29" customFormat="false" ht="15" hidden="false" customHeight="false" outlineLevel="0" collapsed="false">
      <c r="A29" s="11" t="s">
        <v>155</v>
      </c>
      <c r="B29" s="11" t="s">
        <v>66</v>
      </c>
      <c r="C29" s="11" t="s">
        <v>125</v>
      </c>
      <c r="D29" s="29" t="n">
        <f aca="false">Assumptions!$B$46</f>
        <v>15000</v>
      </c>
      <c r="E29" s="13" t="n">
        <f aca="false">CostPerKm!$G$15</f>
        <v>8.18269230769231</v>
      </c>
      <c r="F29" s="30" t="n">
        <f aca="false">D29*E29</f>
        <v>122740.384615385</v>
      </c>
      <c r="G29" s="29" t="n">
        <f aca="false">Assumptions!$B$39</f>
        <v>6000</v>
      </c>
      <c r="H29" s="27" t="n">
        <f aca="false">F29+G29</f>
        <v>128740.384615385</v>
      </c>
      <c r="I29" s="30" t="n">
        <f aca="false">0</f>
        <v>0</v>
      </c>
      <c r="J29" s="30" t="n">
        <f aca="false">I29+H29*Assumptions!$B$48</f>
        <v>643701.923076923</v>
      </c>
      <c r="K29" s="30" t="n">
        <f aca="false">($D29*CostPerKm!$G$15+Assumptions!$B$39)-H29</f>
        <v>0</v>
      </c>
      <c r="L29" s="31" t="str">
        <f aca="false">IF(K29&lt;=0,"never",IF(I29=0,0,I29/K29))</f>
        <v>never</v>
      </c>
    </row>
    <row r="30" customFormat="false" ht="15" hidden="false" customHeight="false" outlineLevel="0" collapsed="false">
      <c r="A30" s="11" t="s">
        <v>155</v>
      </c>
      <c r="B30" s="11" t="s">
        <v>66</v>
      </c>
      <c r="C30" s="11" t="s">
        <v>131</v>
      </c>
      <c r="D30" s="29" t="n">
        <f aca="false">Assumptions!$B$46</f>
        <v>15000</v>
      </c>
      <c r="E30" s="13" t="n">
        <f aca="false">CostPerKm!$G$16</f>
        <v>5.01052631578947</v>
      </c>
      <c r="F30" s="30" t="n">
        <f aca="false">D30*E30</f>
        <v>75157.8947368421</v>
      </c>
      <c r="G30" s="29" t="n">
        <f aca="false">Assumptions!$B$40</f>
        <v>9000</v>
      </c>
      <c r="H30" s="27" t="n">
        <f aca="false">F30+G30</f>
        <v>84157.8947368421</v>
      </c>
      <c r="I30" s="29" t="n">
        <f aca="false">Assumptions!$C$32</f>
        <v>150000</v>
      </c>
      <c r="J30" s="30" t="n">
        <f aca="false">I30+H30*Assumptions!$B$48</f>
        <v>570789.473684211</v>
      </c>
      <c r="K30" s="30" t="n">
        <f aca="false">($D30*CostPerKm!$G$15+Assumptions!$B$39)-H30</f>
        <v>44582.4898785425</v>
      </c>
      <c r="L30" s="31" t="n">
        <f aca="false">IF(K30&lt;=0,"never",IF(I30=0,0,I30/K30))</f>
        <v>3.36454963391793</v>
      </c>
    </row>
    <row r="31" customFormat="false" ht="15" hidden="false" customHeight="false" outlineLevel="0" collapsed="false">
      <c r="A31" s="11" t="s">
        <v>155</v>
      </c>
      <c r="B31" s="11" t="s">
        <v>66</v>
      </c>
      <c r="C31" s="11" t="s">
        <v>127</v>
      </c>
      <c r="D31" s="29" t="n">
        <f aca="false">Assumptions!$B$46</f>
        <v>15000</v>
      </c>
      <c r="E31" s="13" t="n">
        <f aca="false">CostPerKm!$G$17</f>
        <v>3.77681818181818</v>
      </c>
      <c r="F31" s="30" t="n">
        <f aca="false">D31*E31</f>
        <v>56652.2727272727</v>
      </c>
      <c r="G31" s="29" t="n">
        <f aca="false">Assumptions!$B$41</f>
        <v>8500</v>
      </c>
      <c r="H31" s="27" t="n">
        <f aca="false">F31+G31</f>
        <v>65152.2727272727</v>
      </c>
      <c r="I31" s="29" t="n">
        <f aca="false">Assumptions!$D$32</f>
        <v>110000</v>
      </c>
      <c r="J31" s="30" t="n">
        <f aca="false">I31+H31*Assumptions!$B$48</f>
        <v>435761.363636364</v>
      </c>
      <c r="K31" s="30" t="n">
        <f aca="false">($D31*CostPerKm!$G$15+Assumptions!$B$39)-H31</f>
        <v>63588.1118881119</v>
      </c>
      <c r="L31" s="31" t="n">
        <f aca="false">IF(K31&lt;=0,"never",IF(I31=0,0,I31/K31))</f>
        <v>1.72988309817334</v>
      </c>
    </row>
    <row r="32" customFormat="false" ht="15" hidden="false" customHeight="false" outlineLevel="0" collapsed="false">
      <c r="A32" s="11" t="s">
        <v>155</v>
      </c>
      <c r="B32" s="11" t="s">
        <v>66</v>
      </c>
      <c r="C32" s="11" t="s">
        <v>129</v>
      </c>
      <c r="D32" s="29" t="n">
        <f aca="false">Assumptions!$B$46</f>
        <v>15000</v>
      </c>
      <c r="E32" s="13" t="n">
        <f aca="false">CostPerKm!$G$18</f>
        <v>1.63076923076923</v>
      </c>
      <c r="F32" s="30" t="n">
        <f aca="false">D32*E32</f>
        <v>24461.5384615385</v>
      </c>
      <c r="G32" s="29" t="n">
        <f aca="false">Assumptions!$B$42</f>
        <v>3500</v>
      </c>
      <c r="H32" s="27" t="n">
        <f aca="false">F32+G32</f>
        <v>27961.5384615385</v>
      </c>
      <c r="I32" s="29" t="n">
        <f aca="false">Assumptions!$E$32</f>
        <v>400000</v>
      </c>
      <c r="J32" s="30" t="n">
        <f aca="false">I32+H32*Assumptions!$B$48</f>
        <v>539807.692307692</v>
      </c>
      <c r="K32" s="30" t="n">
        <f aca="false">($D32*CostPerKm!$G$15+Assumptions!$B$39)-H32</f>
        <v>100778.846153846</v>
      </c>
      <c r="L32" s="31" t="n">
        <f aca="false">IF(K32&lt;=0,"never",IF(I32=0,0,I32/K32))</f>
        <v>3.9690869191871</v>
      </c>
    </row>
    <row r="33" customFormat="false" ht="15" hidden="false" customHeight="false" outlineLevel="0" collapsed="false">
      <c r="A33" s="11" t="s">
        <v>156</v>
      </c>
      <c r="B33" s="11" t="s">
        <v>59</v>
      </c>
      <c r="C33" s="11" t="s">
        <v>125</v>
      </c>
      <c r="D33" s="29" t="n">
        <f aca="false">Assumptions!$B$47</f>
        <v>25000</v>
      </c>
      <c r="E33" s="13" t="n">
        <f aca="false">CostPerKm!$G$5</f>
        <v>1.93409090909091</v>
      </c>
      <c r="F33" s="30" t="n">
        <f aca="false">D33*E33</f>
        <v>48352.2727272727</v>
      </c>
      <c r="G33" s="29" t="n">
        <f aca="false">Assumptions!$B$36</f>
        <v>2000</v>
      </c>
      <c r="H33" s="27" t="n">
        <f aca="false">F33+G33</f>
        <v>50352.2727272727</v>
      </c>
      <c r="I33" s="30" t="n">
        <f aca="false">0</f>
        <v>0</v>
      </c>
      <c r="J33" s="30" t="n">
        <f aca="false">I33+H33*Assumptions!$B$48</f>
        <v>251761.363636364</v>
      </c>
      <c r="K33" s="30" t="n">
        <f aca="false">($D33*CostPerKm!$G$5+Assumptions!$B$36)-H33</f>
        <v>0</v>
      </c>
      <c r="L33" s="31" t="str">
        <f aca="false">IF(K33&lt;=0,"never",IF(I33=0,0,I33/K33))</f>
        <v>never</v>
      </c>
    </row>
    <row r="34" customFormat="false" ht="15" hidden="false" customHeight="false" outlineLevel="0" collapsed="false">
      <c r="A34" s="11" t="s">
        <v>156</v>
      </c>
      <c r="B34" s="11" t="s">
        <v>59</v>
      </c>
      <c r="C34" s="11" t="s">
        <v>127</v>
      </c>
      <c r="D34" s="29" t="n">
        <f aca="false">Assumptions!$B$47</f>
        <v>25000</v>
      </c>
      <c r="E34" s="13" t="n">
        <f aca="false">CostPerKm!$G$6</f>
        <v>0.814607843137255</v>
      </c>
      <c r="F34" s="30" t="n">
        <f aca="false">D34*E34</f>
        <v>20365.1960784314</v>
      </c>
      <c r="G34" s="29" t="n">
        <f aca="false">Assumptions!$B$37</f>
        <v>2600</v>
      </c>
      <c r="H34" s="27" t="n">
        <f aca="false">F34+G34</f>
        <v>22965.1960784314</v>
      </c>
      <c r="I34" s="29" t="n">
        <f aca="false">Assumptions!$D$29</f>
        <v>15000</v>
      </c>
      <c r="J34" s="30" t="n">
        <f aca="false">I34+H34*Assumptions!$B$48</f>
        <v>129825.980392157</v>
      </c>
      <c r="K34" s="30" t="n">
        <f aca="false">($D34*CostPerKm!$G$5+Assumptions!$B$36)-H34</f>
        <v>27387.0766488414</v>
      </c>
      <c r="L34" s="31" t="n">
        <f aca="false">IF(K34&lt;=0,"never",IF(I34=0,0,I34/K34))</f>
        <v>0.547703582690874</v>
      </c>
    </row>
    <row r="35" customFormat="false" ht="15" hidden="false" customHeight="false" outlineLevel="0" collapsed="false">
      <c r="A35" s="11" t="s">
        <v>156</v>
      </c>
      <c r="B35" s="11" t="s">
        <v>59</v>
      </c>
      <c r="C35" s="11" t="s">
        <v>129</v>
      </c>
      <c r="D35" s="29" t="n">
        <f aca="false">Assumptions!$B$47</f>
        <v>25000</v>
      </c>
      <c r="E35" s="13" t="n">
        <f aca="false">CostPerKm!$G$7</f>
        <v>0.353333333333333</v>
      </c>
      <c r="F35" s="30" t="n">
        <f aca="false">D35*E35</f>
        <v>8833.33333333333</v>
      </c>
      <c r="G35" s="29" t="n">
        <f aca="false">Assumptions!$B$38</f>
        <v>1000</v>
      </c>
      <c r="H35" s="27" t="n">
        <f aca="false">F35+G35</f>
        <v>9833.33333333333</v>
      </c>
      <c r="I35" s="29" t="n">
        <f aca="false">Assumptions!$E$29</f>
        <v>45000</v>
      </c>
      <c r="J35" s="30" t="n">
        <f aca="false">I35+H35*Assumptions!$B$48</f>
        <v>94166.6666666667</v>
      </c>
      <c r="K35" s="30" t="n">
        <f aca="false">($D35*CostPerKm!$G$5+Assumptions!$B$36)-H35</f>
        <v>40518.9393939394</v>
      </c>
      <c r="L35" s="31" t="n">
        <f aca="false">IF(K35&lt;=0,"never",IF(I35=0,0,I35/K35))</f>
        <v>1.11059175469758</v>
      </c>
    </row>
    <row r="36" customFormat="false" ht="15" hidden="false" customHeight="false" outlineLevel="0" collapsed="false">
      <c r="A36" s="11" t="s">
        <v>156</v>
      </c>
      <c r="B36" s="11" t="s">
        <v>62</v>
      </c>
      <c r="C36" s="11" t="s">
        <v>125</v>
      </c>
      <c r="D36" s="29" t="n">
        <f aca="false">Assumptions!$B$47</f>
        <v>25000</v>
      </c>
      <c r="E36" s="13" t="n">
        <f aca="false">CostPerKm!$G$8</f>
        <v>6.6484375</v>
      </c>
      <c r="F36" s="30" t="n">
        <f aca="false">D36*E36</f>
        <v>166210.9375</v>
      </c>
      <c r="G36" s="29" t="n">
        <f aca="false">Assumptions!$B$39</f>
        <v>6000</v>
      </c>
      <c r="H36" s="27" t="n">
        <f aca="false">F36+G36</f>
        <v>172210.9375</v>
      </c>
      <c r="I36" s="30" t="n">
        <f aca="false">0</f>
        <v>0</v>
      </c>
      <c r="J36" s="30" t="n">
        <f aca="false">I36+H36*Assumptions!$B$48</f>
        <v>861054.6875</v>
      </c>
      <c r="K36" s="30" t="n">
        <f aca="false">($D36*CostPerKm!$G$8+Assumptions!$B$39)-H36</f>
        <v>0</v>
      </c>
      <c r="L36" s="31" t="str">
        <f aca="false">IF(K36&lt;=0,"never",IF(I36=0,0,I36/K36))</f>
        <v>never</v>
      </c>
    </row>
    <row r="37" customFormat="false" ht="15" hidden="false" customHeight="false" outlineLevel="0" collapsed="false">
      <c r="A37" s="11" t="s">
        <v>156</v>
      </c>
      <c r="B37" s="11" t="s">
        <v>62</v>
      </c>
      <c r="C37" s="11" t="s">
        <v>127</v>
      </c>
      <c r="D37" s="29" t="n">
        <f aca="false">Assumptions!$B$47</f>
        <v>25000</v>
      </c>
      <c r="E37" s="13" t="n">
        <f aca="false">CostPerKm!$G$9</f>
        <v>2.9675</v>
      </c>
      <c r="F37" s="30" t="n">
        <f aca="false">D37*E37</f>
        <v>74187.5</v>
      </c>
      <c r="G37" s="29" t="n">
        <f aca="false">Assumptions!$B$41</f>
        <v>8500</v>
      </c>
      <c r="H37" s="27" t="n">
        <f aca="false">F37+G37</f>
        <v>82687.5</v>
      </c>
      <c r="I37" s="29" t="n">
        <f aca="false">Assumptions!$D$30</f>
        <v>90000</v>
      </c>
      <c r="J37" s="30" t="n">
        <f aca="false">I37+H37*Assumptions!$B$48</f>
        <v>503437.5</v>
      </c>
      <c r="K37" s="30" t="n">
        <f aca="false">($D37*CostPerKm!$G$8+Assumptions!$B$39)-H37</f>
        <v>89523.4375</v>
      </c>
      <c r="L37" s="31" t="n">
        <f aca="false">IF(K37&lt;=0,"never",IF(I37=0,0,I37/K37))</f>
        <v>1.00532332664281</v>
      </c>
    </row>
    <row r="38" customFormat="false" ht="15" hidden="false" customHeight="false" outlineLevel="0" collapsed="false">
      <c r="A38" s="11" t="s">
        <v>156</v>
      </c>
      <c r="B38" s="11" t="s">
        <v>62</v>
      </c>
      <c r="C38" s="11" t="s">
        <v>129</v>
      </c>
      <c r="D38" s="29" t="n">
        <f aca="false">Assumptions!$B$47</f>
        <v>25000</v>
      </c>
      <c r="E38" s="13" t="n">
        <f aca="false">CostPerKm!$G$10</f>
        <v>1.41333333333333</v>
      </c>
      <c r="F38" s="30" t="n">
        <f aca="false">D38*E38</f>
        <v>35333.3333333333</v>
      </c>
      <c r="G38" s="29" t="n">
        <f aca="false">Assumptions!$B$42</f>
        <v>3500</v>
      </c>
      <c r="H38" s="27" t="n">
        <f aca="false">F38+G38</f>
        <v>38833.3333333333</v>
      </c>
      <c r="I38" s="29" t="n">
        <f aca="false">Assumptions!$E$30</f>
        <v>450000</v>
      </c>
      <c r="J38" s="30" t="n">
        <f aca="false">I38+H38*Assumptions!$B$48</f>
        <v>644166.666666667</v>
      </c>
      <c r="K38" s="30" t="n">
        <f aca="false">($D38*CostPerKm!$G$8+Assumptions!$B$39)-H38</f>
        <v>133377.604166667</v>
      </c>
      <c r="L38" s="31" t="n">
        <f aca="false">IF(K38&lt;=0,"never",IF(I38=0,0,I38/K38))</f>
        <v>3.37387976648378</v>
      </c>
    </row>
    <row r="39" customFormat="false" ht="15" hidden="false" customHeight="false" outlineLevel="0" collapsed="false">
      <c r="A39" s="11" t="s">
        <v>156</v>
      </c>
      <c r="B39" s="11" t="s">
        <v>64</v>
      </c>
      <c r="C39" s="11" t="s">
        <v>125</v>
      </c>
      <c r="D39" s="29" t="n">
        <f aca="false">Assumptions!$B$47</f>
        <v>25000</v>
      </c>
      <c r="E39" s="13" t="n">
        <f aca="false">CostPerKm!$G$11</f>
        <v>7.09166666666667</v>
      </c>
      <c r="F39" s="30" t="n">
        <f aca="false">D39*E39</f>
        <v>177291.666666667</v>
      </c>
      <c r="G39" s="29" t="n">
        <f aca="false">Assumptions!$B$39</f>
        <v>6000</v>
      </c>
      <c r="H39" s="27" t="n">
        <f aca="false">F39+G39</f>
        <v>183291.666666667</v>
      </c>
      <c r="I39" s="30" t="n">
        <f aca="false">0</f>
        <v>0</v>
      </c>
      <c r="J39" s="30" t="n">
        <f aca="false">I39+H39*Assumptions!$B$48</f>
        <v>916458.333333334</v>
      </c>
      <c r="K39" s="30" t="n">
        <f aca="false">($D39*CostPerKm!$G$11+Assumptions!$B$39)-H39</f>
        <v>0</v>
      </c>
      <c r="L39" s="31" t="str">
        <f aca="false">IF(K39&lt;=0,"never",IF(I39=0,0,I39/K39))</f>
        <v>never</v>
      </c>
    </row>
    <row r="40" customFormat="false" ht="15" hidden="false" customHeight="false" outlineLevel="0" collapsed="false">
      <c r="A40" s="11" t="s">
        <v>156</v>
      </c>
      <c r="B40" s="11" t="s">
        <v>64</v>
      </c>
      <c r="C40" s="11" t="s">
        <v>131</v>
      </c>
      <c r="D40" s="29" t="n">
        <f aca="false">Assumptions!$B$47</f>
        <v>25000</v>
      </c>
      <c r="E40" s="13" t="n">
        <f aca="false">CostPerKm!$G$12</f>
        <v>4.32727272727273</v>
      </c>
      <c r="F40" s="30" t="n">
        <f aca="false">D40*E40</f>
        <v>108181.818181818</v>
      </c>
      <c r="G40" s="29" t="n">
        <f aca="false">Assumptions!$B$40</f>
        <v>9000</v>
      </c>
      <c r="H40" s="27" t="n">
        <f aca="false">F40+G40</f>
        <v>117181.818181818</v>
      </c>
      <c r="I40" s="29" t="n">
        <f aca="false">Assumptions!$C$31</f>
        <v>120000</v>
      </c>
      <c r="J40" s="30" t="n">
        <f aca="false">I40+H40*Assumptions!$B$48</f>
        <v>705909.090909091</v>
      </c>
      <c r="K40" s="30" t="n">
        <f aca="false">($D40*CostPerKm!$G$11+Assumptions!$B$39)-H40</f>
        <v>66109.8484848485</v>
      </c>
      <c r="L40" s="31" t="n">
        <f aca="false">IF(K40&lt;=0,"never",IF(I40=0,0,I40/K40))</f>
        <v>1.81516071735518</v>
      </c>
    </row>
    <row r="41" customFormat="false" ht="15" hidden="false" customHeight="false" outlineLevel="0" collapsed="false">
      <c r="A41" s="11" t="s">
        <v>156</v>
      </c>
      <c r="B41" s="11" t="s">
        <v>64</v>
      </c>
      <c r="C41" s="11" t="s">
        <v>127</v>
      </c>
      <c r="D41" s="29" t="n">
        <f aca="false">Assumptions!$B$47</f>
        <v>25000</v>
      </c>
      <c r="E41" s="13" t="n">
        <f aca="false">CostPerKm!$G$13</f>
        <v>3.19576923076923</v>
      </c>
      <c r="F41" s="30" t="n">
        <f aca="false">D41*E41</f>
        <v>79894.2307692308</v>
      </c>
      <c r="G41" s="29" t="n">
        <f aca="false">Assumptions!$B$41</f>
        <v>8500</v>
      </c>
      <c r="H41" s="27" t="n">
        <f aca="false">F41+G41</f>
        <v>88394.2307692308</v>
      </c>
      <c r="I41" s="29" t="n">
        <f aca="false">Assumptions!$D$31</f>
        <v>95000</v>
      </c>
      <c r="J41" s="30" t="n">
        <f aca="false">I41+H41*Assumptions!$B$48</f>
        <v>536971.153846154</v>
      </c>
      <c r="K41" s="30" t="n">
        <f aca="false">($D41*CostPerKm!$G$11+Assumptions!$B$39)-H41</f>
        <v>94897.4358974359</v>
      </c>
      <c r="L41" s="31" t="n">
        <f aca="false">IF(K41&lt;=0,"never",IF(I41=0,0,I41/K41))</f>
        <v>1.00108078897595</v>
      </c>
    </row>
    <row r="42" customFormat="false" ht="15" hidden="false" customHeight="false" outlineLevel="0" collapsed="false">
      <c r="A42" s="11" t="s">
        <v>156</v>
      </c>
      <c r="B42" s="11" t="s">
        <v>64</v>
      </c>
      <c r="C42" s="11" t="s">
        <v>129</v>
      </c>
      <c r="D42" s="29" t="n">
        <f aca="false">Assumptions!$B$47</f>
        <v>25000</v>
      </c>
      <c r="E42" s="13" t="n">
        <f aca="false">CostPerKm!$G$14</f>
        <v>1.51428571428571</v>
      </c>
      <c r="F42" s="30" t="n">
        <f aca="false">D42*E42</f>
        <v>37857.1428571429</v>
      </c>
      <c r="G42" s="29" t="n">
        <f aca="false">Assumptions!$B$42</f>
        <v>3500</v>
      </c>
      <c r="H42" s="27" t="n">
        <f aca="false">F42+G42</f>
        <v>41357.1428571429</v>
      </c>
      <c r="I42" s="29" t="n">
        <f aca="false">Assumptions!$E$31</f>
        <v>500000</v>
      </c>
      <c r="J42" s="30" t="n">
        <f aca="false">I42+H42*Assumptions!$B$48</f>
        <v>706785.714285714</v>
      </c>
      <c r="K42" s="30" t="n">
        <f aca="false">($D42*CostPerKm!$G$11+Assumptions!$B$39)-H42</f>
        <v>141934.523809524</v>
      </c>
      <c r="L42" s="31" t="n">
        <f aca="false">IF(K42&lt;=0,"never",IF(I42=0,0,I42/K42))</f>
        <v>3.52275110085972</v>
      </c>
    </row>
    <row r="43" customFormat="false" ht="15" hidden="false" customHeight="false" outlineLevel="0" collapsed="false">
      <c r="A43" s="11" t="s">
        <v>156</v>
      </c>
      <c r="B43" s="11" t="s">
        <v>66</v>
      </c>
      <c r="C43" s="11" t="s">
        <v>125</v>
      </c>
      <c r="D43" s="29" t="n">
        <f aca="false">Assumptions!$B$47</f>
        <v>25000</v>
      </c>
      <c r="E43" s="13" t="n">
        <f aca="false">CostPerKm!$G$15</f>
        <v>8.18269230769231</v>
      </c>
      <c r="F43" s="30" t="n">
        <f aca="false">D43*E43</f>
        <v>204567.307692308</v>
      </c>
      <c r="G43" s="29" t="n">
        <f aca="false">Assumptions!$B$39</f>
        <v>6000</v>
      </c>
      <c r="H43" s="27" t="n">
        <f aca="false">F43+G43</f>
        <v>210567.307692308</v>
      </c>
      <c r="I43" s="30" t="n">
        <f aca="false">0</f>
        <v>0</v>
      </c>
      <c r="J43" s="30" t="n">
        <f aca="false">I43+H43*Assumptions!$B$48</f>
        <v>1052836.53846154</v>
      </c>
      <c r="K43" s="30" t="n">
        <f aca="false">($D43*CostPerKm!$G$15+Assumptions!$B$39)-H43</f>
        <v>0</v>
      </c>
      <c r="L43" s="31" t="str">
        <f aca="false">IF(K43&lt;=0,"never",IF(I43=0,0,I43/K43))</f>
        <v>never</v>
      </c>
    </row>
    <row r="44" customFormat="false" ht="15" hidden="false" customHeight="false" outlineLevel="0" collapsed="false">
      <c r="A44" s="11" t="s">
        <v>156</v>
      </c>
      <c r="B44" s="11" t="s">
        <v>66</v>
      </c>
      <c r="C44" s="11" t="s">
        <v>131</v>
      </c>
      <c r="D44" s="29" t="n">
        <f aca="false">Assumptions!$B$47</f>
        <v>25000</v>
      </c>
      <c r="E44" s="13" t="n">
        <f aca="false">CostPerKm!$G$16</f>
        <v>5.01052631578947</v>
      </c>
      <c r="F44" s="30" t="n">
        <f aca="false">D44*E44</f>
        <v>125263.157894737</v>
      </c>
      <c r="G44" s="29" t="n">
        <f aca="false">Assumptions!$B$40</f>
        <v>9000</v>
      </c>
      <c r="H44" s="27" t="n">
        <f aca="false">F44+G44</f>
        <v>134263.157894737</v>
      </c>
      <c r="I44" s="29" t="n">
        <f aca="false">Assumptions!$C$32</f>
        <v>150000</v>
      </c>
      <c r="J44" s="30" t="n">
        <f aca="false">I44+H44*Assumptions!$B$48</f>
        <v>821315.789473684</v>
      </c>
      <c r="K44" s="30" t="n">
        <f aca="false">($D44*CostPerKm!$G$15+Assumptions!$B$39)-H44</f>
        <v>76304.1497975709</v>
      </c>
      <c r="L44" s="31" t="n">
        <f aca="false">IF(K44&lt;=0,"never",IF(I44=0,0,I44/K44))</f>
        <v>1.96581706758988</v>
      </c>
    </row>
    <row r="45" customFormat="false" ht="15" hidden="false" customHeight="false" outlineLevel="0" collapsed="false">
      <c r="A45" s="11" t="s">
        <v>156</v>
      </c>
      <c r="B45" s="11" t="s">
        <v>66</v>
      </c>
      <c r="C45" s="11" t="s">
        <v>127</v>
      </c>
      <c r="D45" s="29" t="n">
        <f aca="false">Assumptions!$B$47</f>
        <v>25000</v>
      </c>
      <c r="E45" s="13" t="n">
        <f aca="false">CostPerKm!$G$17</f>
        <v>3.77681818181818</v>
      </c>
      <c r="F45" s="30" t="n">
        <f aca="false">D45*E45</f>
        <v>94420.4545454545</v>
      </c>
      <c r="G45" s="29" t="n">
        <f aca="false">Assumptions!$B$41</f>
        <v>8500</v>
      </c>
      <c r="H45" s="27" t="n">
        <f aca="false">F45+G45</f>
        <v>102920.454545455</v>
      </c>
      <c r="I45" s="29" t="n">
        <f aca="false">Assumptions!$D$32</f>
        <v>110000</v>
      </c>
      <c r="J45" s="30" t="n">
        <f aca="false">I45+H45*Assumptions!$B$48</f>
        <v>624602.272727273</v>
      </c>
      <c r="K45" s="30" t="n">
        <f aca="false">($D45*CostPerKm!$G$15+Assumptions!$B$39)-H45</f>
        <v>107646.853146853</v>
      </c>
      <c r="L45" s="31" t="n">
        <f aca="false">IF(K45&lt;=0,"never",IF(I45=0,0,I45/K45))</f>
        <v>1.02185987592166</v>
      </c>
    </row>
    <row r="46" customFormat="false" ht="15" hidden="false" customHeight="false" outlineLevel="0" collapsed="false">
      <c r="A46" s="11" t="s">
        <v>156</v>
      </c>
      <c r="B46" s="11" t="s">
        <v>66</v>
      </c>
      <c r="C46" s="11" t="s">
        <v>129</v>
      </c>
      <c r="D46" s="29" t="n">
        <f aca="false">Assumptions!$B$47</f>
        <v>25000</v>
      </c>
      <c r="E46" s="13" t="n">
        <f aca="false">CostPerKm!$G$18</f>
        <v>1.63076923076923</v>
      </c>
      <c r="F46" s="30" t="n">
        <f aca="false">D46*E46</f>
        <v>40769.2307692308</v>
      </c>
      <c r="G46" s="29" t="n">
        <f aca="false">Assumptions!$B$42</f>
        <v>3500</v>
      </c>
      <c r="H46" s="27" t="n">
        <f aca="false">F46+G46</f>
        <v>44269.2307692308</v>
      </c>
      <c r="I46" s="29" t="n">
        <f aca="false">Assumptions!$E$32</f>
        <v>400000</v>
      </c>
      <c r="J46" s="30" t="n">
        <f aca="false">I46+H46*Assumptions!$B$48</f>
        <v>621346.153846154</v>
      </c>
      <c r="K46" s="30" t="n">
        <f aca="false">($D46*CostPerKm!$G$15+Assumptions!$B$39)-H46</f>
        <v>166298.076923077</v>
      </c>
      <c r="L46" s="31" t="n">
        <f aca="false">IF(K46&lt;=0,"never",IF(I46=0,0,I46/K46))</f>
        <v>2.40531945649032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24"/>
    <col collapsed="false" customWidth="true" hidden="false" outlineLevel="0" max="3" min="3" style="0" width="26"/>
    <col collapsed="false" customWidth="true" hidden="false" outlineLevel="0" max="4" min="4" style="0" width="22"/>
  </cols>
  <sheetData>
    <row r="1" customFormat="false" ht="17.35" hidden="false" customHeight="false" outlineLevel="0" collapsed="false">
      <c r="A1" s="1" t="s">
        <v>157</v>
      </c>
    </row>
    <row r="3" customFormat="false" ht="15" hidden="false" customHeight="false" outlineLevel="0" collapsed="false">
      <c r="A3" s="2" t="s">
        <v>158</v>
      </c>
    </row>
    <row r="4" customFormat="false" ht="91" hidden="false" customHeight="false" outlineLevel="0" collapsed="false">
      <c r="A4" s="3" t="s">
        <v>159</v>
      </c>
    </row>
    <row r="5" customFormat="false" ht="113.4" hidden="false" customHeight="false" outlineLevel="0" collapsed="false">
      <c r="A5" s="3" t="s">
        <v>160</v>
      </c>
    </row>
    <row r="7" customFormat="false" ht="26.85" hidden="false" customHeight="false" outlineLevel="0" collapsed="false">
      <c r="A7" s="2" t="s">
        <v>161</v>
      </c>
    </row>
    <row r="8" customFormat="false" ht="15" hidden="false" customHeight="false" outlineLevel="0" collapsed="false">
      <c r="A8" s="8" t="s">
        <v>162</v>
      </c>
      <c r="B8" s="8" t="s">
        <v>163</v>
      </c>
      <c r="C8" s="8" t="s">
        <v>164</v>
      </c>
    </row>
    <row r="9" customFormat="false" ht="15" hidden="false" customHeight="false" outlineLevel="0" collapsed="false">
      <c r="A9" s="18" t="s">
        <v>165</v>
      </c>
      <c r="B9" s="32" t="n">
        <f aca="false">Assumptions!$B$7</f>
        <v>102.12</v>
      </c>
      <c r="C9" s="18" t="s">
        <v>166</v>
      </c>
    </row>
    <row r="10" customFormat="false" ht="15" hidden="false" customHeight="false" outlineLevel="0" collapsed="false">
      <c r="A10" s="18" t="s">
        <v>167</v>
      </c>
      <c r="B10" s="33" t="n">
        <v>13</v>
      </c>
      <c r="C10" s="18" t="s">
        <v>168</v>
      </c>
    </row>
    <row r="11" customFormat="false" ht="15" hidden="false" customHeight="false" outlineLevel="0" collapsed="false">
      <c r="A11" s="18" t="s">
        <v>169</v>
      </c>
      <c r="B11" s="33" t="n">
        <v>3.77</v>
      </c>
      <c r="C11" s="18" t="s">
        <v>166</v>
      </c>
    </row>
    <row r="12" customFormat="false" ht="15" hidden="false" customHeight="false" outlineLevel="0" collapsed="false">
      <c r="A12" s="18" t="s">
        <v>170</v>
      </c>
      <c r="B12" s="34" t="n">
        <f aca="false">B9-B9/(1+INDEX(Cities!$F$4:$F$9,MATCH(Assumptions!$B$6,Cities!$A$4:$A$9,0)))</f>
        <v>16.5923618090452</v>
      </c>
      <c r="C12" s="18" t="s">
        <v>171</v>
      </c>
    </row>
    <row r="13" customFormat="false" ht="15" hidden="false" customHeight="false" outlineLevel="0" collapsed="false">
      <c r="A13" s="18" t="s">
        <v>172</v>
      </c>
      <c r="B13" s="34" t="n">
        <f aca="false">B9-B10-B11-B12</f>
        <v>68.7576381909548</v>
      </c>
      <c r="C13" s="18" t="s">
        <v>173</v>
      </c>
    </row>
    <row r="14" customFormat="false" ht="15" hidden="false" customHeight="false" outlineLevel="0" collapsed="false">
      <c r="A14" s="35" t="s">
        <v>174</v>
      </c>
      <c r="B14" s="36" t="n">
        <f aca="false">B10+B12</f>
        <v>29.5923618090452</v>
      </c>
      <c r="C14" s="18"/>
    </row>
    <row r="15" customFormat="false" ht="15" hidden="false" customHeight="false" outlineLevel="0" collapsed="false">
      <c r="A15" s="35" t="s">
        <v>175</v>
      </c>
      <c r="B15" s="37" t="n">
        <f aca="false">B14/B9</f>
        <v>0.289780276234285</v>
      </c>
      <c r="C15" s="38"/>
    </row>
    <row r="16" customFormat="false" ht="43.25" hidden="false" customHeight="false" outlineLevel="0" collapsed="false">
      <c r="A16" s="4" t="s">
        <v>176</v>
      </c>
    </row>
    <row r="18" customFormat="false" ht="15" hidden="false" customHeight="false" outlineLevel="0" collapsed="false">
      <c r="A18" s="2" t="s">
        <v>177</v>
      </c>
    </row>
    <row r="19" customFormat="false" ht="15" hidden="false" customHeight="false" outlineLevel="0" collapsed="false">
      <c r="A19" s="8" t="s">
        <v>178</v>
      </c>
      <c r="B19" s="8" t="s">
        <v>179</v>
      </c>
      <c r="C19" s="8" t="s">
        <v>180</v>
      </c>
      <c r="D19" s="8" t="s">
        <v>181</v>
      </c>
    </row>
    <row r="20" customFormat="false" ht="15" hidden="false" customHeight="false" outlineLevel="0" collapsed="false">
      <c r="A20" s="9" t="s">
        <v>182</v>
      </c>
      <c r="B20" s="9" t="s">
        <v>183</v>
      </c>
      <c r="C20" s="9" t="s">
        <v>184</v>
      </c>
      <c r="D20" s="39" t="s">
        <v>185</v>
      </c>
    </row>
    <row r="21" customFormat="false" ht="15" hidden="false" customHeight="false" outlineLevel="0" collapsed="false">
      <c r="A21" s="9" t="s">
        <v>186</v>
      </c>
      <c r="B21" s="9" t="s">
        <v>187</v>
      </c>
      <c r="C21" s="9" t="s">
        <v>188</v>
      </c>
      <c r="D21" s="39" t="s">
        <v>189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4" min="2" style="0" width="18"/>
  </cols>
  <sheetData>
    <row r="1" customFormat="false" ht="17.35" hidden="false" customHeight="false" outlineLevel="0" collapsed="false">
      <c r="A1" s="1" t="s">
        <v>190</v>
      </c>
    </row>
    <row r="2" customFormat="false" ht="15" hidden="false" customHeight="false" outlineLevel="0" collapsed="false">
      <c r="A2" s="5" t="s">
        <v>191</v>
      </c>
    </row>
    <row r="4" customFormat="false" ht="15" hidden="false" customHeight="false" outlineLevel="0" collapsed="false">
      <c r="A4" s="6" t="s">
        <v>192</v>
      </c>
      <c r="B4" s="7"/>
      <c r="C4" s="7"/>
      <c r="D4" s="7"/>
    </row>
    <row r="5" customFormat="false" ht="15" hidden="false" customHeight="false" outlineLevel="0" collapsed="false">
      <c r="A5" s="17" t="s">
        <v>193</v>
      </c>
      <c r="B5" s="17" t="s">
        <v>194</v>
      </c>
      <c r="C5" s="17" t="s">
        <v>195</v>
      </c>
      <c r="D5" s="17" t="s">
        <v>196</v>
      </c>
    </row>
    <row r="6" customFormat="false" ht="15" hidden="false" customHeight="false" outlineLevel="0" collapsed="false">
      <c r="A6" s="9" t="s">
        <v>197</v>
      </c>
      <c r="B6" s="20" t="n">
        <v>21420386</v>
      </c>
      <c r="C6" s="40" t="n">
        <f aca="false">B6/$B$12</f>
        <v>0.721928475500575</v>
      </c>
      <c r="D6" s="16" t="n">
        <v>0.0654</v>
      </c>
    </row>
    <row r="7" customFormat="false" ht="15" hidden="false" customHeight="false" outlineLevel="0" collapsed="false">
      <c r="A7" s="9" t="s">
        <v>198</v>
      </c>
      <c r="B7" s="20" t="n">
        <v>1363412</v>
      </c>
      <c r="C7" s="40" t="n">
        <f aca="false">B7/$B$12</f>
        <v>0.045950896806397</v>
      </c>
      <c r="D7" s="16" t="n">
        <v>0.6095</v>
      </c>
    </row>
    <row r="8" customFormat="false" ht="15" hidden="false" customHeight="false" outlineLevel="0" collapsed="false">
      <c r="A8" s="9" t="s">
        <v>199</v>
      </c>
      <c r="B8" s="20" t="n">
        <v>4705056</v>
      </c>
      <c r="C8" s="40" t="n">
        <f aca="false">B8/$B$12</f>
        <v>0.158573888688319</v>
      </c>
      <c r="D8" s="16" t="n">
        <v>0.0425</v>
      </c>
    </row>
    <row r="9" customFormat="false" ht="15" hidden="false" customHeight="false" outlineLevel="0" collapsed="false">
      <c r="A9" s="9" t="s">
        <v>200</v>
      </c>
      <c r="B9" s="20" t="n">
        <v>1060906</v>
      </c>
      <c r="C9" s="40" t="n">
        <f aca="false">B9/$B$12</f>
        <v>0.0357555765442048</v>
      </c>
      <c r="D9" s="16" t="n">
        <v>0.0183</v>
      </c>
    </row>
    <row r="10" customFormat="false" ht="15" hidden="false" customHeight="false" outlineLevel="0" collapsed="false">
      <c r="A10" s="9" t="s">
        <v>201</v>
      </c>
      <c r="B10" s="20" t="n">
        <v>1050077</v>
      </c>
      <c r="C10" s="40" t="n">
        <f aca="false">B10/$B$12</f>
        <v>0.0353906081696295</v>
      </c>
      <c r="D10" s="19" t="s">
        <v>60</v>
      </c>
    </row>
    <row r="11" customFormat="false" ht="15" hidden="false" customHeight="false" outlineLevel="0" collapsed="false">
      <c r="A11" s="9" t="s">
        <v>202</v>
      </c>
      <c r="B11" s="20" t="n">
        <v>71227</v>
      </c>
      <c r="C11" s="40" t="n">
        <f aca="false">B11/$B$12</f>
        <v>0.0024005542908741</v>
      </c>
      <c r="D11" s="19" t="s">
        <v>60</v>
      </c>
    </row>
    <row r="12" customFormat="false" ht="15" hidden="false" customHeight="false" outlineLevel="0" collapsed="false">
      <c r="A12" s="35" t="s">
        <v>203</v>
      </c>
      <c r="B12" s="41" t="n">
        <f aca="false">SUM(B6:B11)</f>
        <v>29671064</v>
      </c>
      <c r="C12" s="38"/>
      <c r="D12" s="38"/>
    </row>
    <row r="14" customFormat="false" ht="15" hidden="false" customHeight="false" outlineLevel="0" collapsed="false">
      <c r="A14" s="6" t="s">
        <v>204</v>
      </c>
      <c r="B14" s="7"/>
      <c r="C14" s="7"/>
      <c r="D14" s="7"/>
    </row>
    <row r="15" customFormat="false" ht="15" hidden="false" customHeight="false" outlineLevel="0" collapsed="false">
      <c r="A15" s="17" t="s">
        <v>178</v>
      </c>
      <c r="B15" s="17" t="s">
        <v>205</v>
      </c>
      <c r="C15" s="17" t="s">
        <v>206</v>
      </c>
      <c r="D15" s="17" t="s">
        <v>207</v>
      </c>
    </row>
    <row r="16" customFormat="false" ht="15" hidden="false" customHeight="false" outlineLevel="0" collapsed="false">
      <c r="A16" s="9" t="s">
        <v>125</v>
      </c>
      <c r="B16" s="16" t="n">
        <v>0.4748</v>
      </c>
      <c r="C16" s="16" t="n">
        <v>0.5082</v>
      </c>
      <c r="D16" s="42" t="n">
        <f aca="false">(B16-C16)*100</f>
        <v>-3.34</v>
      </c>
    </row>
    <row r="17" customFormat="false" ht="15" hidden="false" customHeight="false" outlineLevel="0" collapsed="false">
      <c r="A17" s="9" t="s">
        <v>131</v>
      </c>
      <c r="B17" s="16" t="n">
        <v>0.1808</v>
      </c>
      <c r="C17" s="16" t="n">
        <v>0.1823</v>
      </c>
      <c r="D17" s="42" t="n">
        <f aca="false">(B17-C17)*100</f>
        <v>-0.15</v>
      </c>
    </row>
    <row r="18" customFormat="false" ht="15" hidden="false" customHeight="false" outlineLevel="0" collapsed="false">
      <c r="A18" s="9" t="s">
        <v>127</v>
      </c>
      <c r="B18" s="16" t="n">
        <v>0.2198</v>
      </c>
      <c r="C18" s="16" t="n">
        <v>0.196</v>
      </c>
      <c r="D18" s="42" t="n">
        <f aca="false">(B18-C18)*100</f>
        <v>2.38</v>
      </c>
    </row>
    <row r="19" customFormat="false" ht="15" hidden="false" customHeight="false" outlineLevel="0" collapsed="false">
      <c r="A19" s="9" t="s">
        <v>208</v>
      </c>
      <c r="B19" s="16" t="n">
        <v>0.0425</v>
      </c>
      <c r="C19" s="16" t="n">
        <v>0.0261</v>
      </c>
      <c r="D19" s="42" t="n">
        <f aca="false">(B19-C19)*100</f>
        <v>1.64</v>
      </c>
    </row>
    <row r="20" customFormat="false" ht="15" hidden="false" customHeight="false" outlineLevel="0" collapsed="false">
      <c r="A20" s="9" t="s">
        <v>209</v>
      </c>
      <c r="B20" s="16" t="n">
        <v>0.0821</v>
      </c>
      <c r="C20" s="16" t="n">
        <v>0.0874</v>
      </c>
      <c r="D20" s="42" t="n">
        <f aca="false">(B20-C20)*100</f>
        <v>-0.53</v>
      </c>
    </row>
    <row r="21" customFormat="false" ht="15" hidden="false" customHeight="false" outlineLevel="0" collapsed="false">
      <c r="A21" s="35" t="s">
        <v>210</v>
      </c>
      <c r="B21" s="37" t="n">
        <f aca="false">SUM(B16:B20)</f>
        <v>1</v>
      </c>
    </row>
    <row r="23" customFormat="false" ht="15" hidden="false" customHeight="false" outlineLevel="0" collapsed="false">
      <c r="A23" s="6" t="s">
        <v>211</v>
      </c>
      <c r="B23" s="7"/>
      <c r="C23" s="7"/>
      <c r="D23" s="7"/>
    </row>
    <row r="24" customFormat="false" ht="15" hidden="false" customHeight="false" outlineLevel="0" collapsed="false">
      <c r="A24" s="17" t="s">
        <v>178</v>
      </c>
      <c r="B24" s="17" t="s">
        <v>212</v>
      </c>
      <c r="C24" s="17" t="s">
        <v>213</v>
      </c>
      <c r="D24" s="17" t="s">
        <v>214</v>
      </c>
    </row>
    <row r="25" customFormat="false" ht="15" hidden="false" customHeight="false" outlineLevel="0" collapsed="false">
      <c r="A25" s="9" t="s">
        <v>125</v>
      </c>
      <c r="B25" s="40" t="n">
        <f aca="false">B16</f>
        <v>0.4748</v>
      </c>
      <c r="C25" s="13" t="n">
        <f aca="false">CostPerKm!$G$8</f>
        <v>6.6484375</v>
      </c>
      <c r="D25" s="25" t="n">
        <f aca="false">B25*C25</f>
        <v>3.156678125</v>
      </c>
    </row>
    <row r="26" customFormat="false" ht="15" hidden="false" customHeight="false" outlineLevel="0" collapsed="false">
      <c r="A26" s="9" t="s">
        <v>131</v>
      </c>
      <c r="B26" s="40" t="n">
        <f aca="false">B17</f>
        <v>0.1808</v>
      </c>
      <c r="C26" s="13" t="n">
        <f aca="false">CostPerKm!$G$12</f>
        <v>4.32727272727273</v>
      </c>
      <c r="D26" s="25" t="n">
        <f aca="false">B26*C26</f>
        <v>0.782370909090909</v>
      </c>
    </row>
    <row r="27" customFormat="false" ht="15" hidden="false" customHeight="false" outlineLevel="0" collapsed="false">
      <c r="A27" s="9" t="s">
        <v>127</v>
      </c>
      <c r="B27" s="40" t="n">
        <f aca="false">B18</f>
        <v>0.2198</v>
      </c>
      <c r="C27" s="13" t="n">
        <f aca="false">CostPerKm!$G$9</f>
        <v>2.9675</v>
      </c>
      <c r="D27" s="25" t="n">
        <f aca="false">B27*C27</f>
        <v>0.6522565</v>
      </c>
    </row>
    <row r="28" customFormat="false" ht="15" hidden="false" customHeight="false" outlineLevel="0" collapsed="false">
      <c r="A28" s="9" t="s">
        <v>208</v>
      </c>
      <c r="B28" s="40" t="n">
        <f aca="false">B19</f>
        <v>0.0425</v>
      </c>
      <c r="C28" s="13" t="n">
        <f aca="false">CostPerKm!$G$10</f>
        <v>1.41333333333333</v>
      </c>
      <c r="D28" s="25" t="n">
        <f aca="false">B28*C28</f>
        <v>0.0600666666666667</v>
      </c>
    </row>
    <row r="29" customFormat="false" ht="15" hidden="false" customHeight="false" outlineLevel="0" collapsed="false">
      <c r="A29" s="35" t="s">
        <v>215</v>
      </c>
      <c r="B29" s="36" t="n">
        <f aca="false">SUM(D25:D28)/SUM(B25:B28)</f>
        <v>5.06740625422985</v>
      </c>
      <c r="C29" s="5" t="s">
        <v>216</v>
      </c>
    </row>
    <row r="31" customFormat="false" ht="15" hidden="false" customHeight="false" outlineLevel="0" collapsed="false">
      <c r="A31" s="6" t="s">
        <v>217</v>
      </c>
      <c r="B31" s="7"/>
      <c r="C31" s="7"/>
      <c r="D31" s="7"/>
    </row>
    <row r="32" customFormat="false" ht="15" hidden="false" customHeight="false" outlineLevel="0" collapsed="false">
      <c r="A32" s="17" t="s">
        <v>218</v>
      </c>
      <c r="B32" s="17" t="s">
        <v>219</v>
      </c>
      <c r="C32" s="17" t="s">
        <v>220</v>
      </c>
      <c r="D32" s="17" t="s">
        <v>221</v>
      </c>
    </row>
    <row r="33" customFormat="false" ht="15" hidden="false" customHeight="false" outlineLevel="0" collapsed="false">
      <c r="A33" s="18" t="s">
        <v>222</v>
      </c>
      <c r="B33" s="43" t="n">
        <f aca="false">B16*B8</f>
        <v>2233960.5888</v>
      </c>
      <c r="C33" s="43" t="n">
        <f aca="false">EthanolImpact!$H$6</f>
        <v>3989.06250000001</v>
      </c>
      <c r="D33" s="44" t="n">
        <f aca="false">B33*C33/10000000</f>
        <v>891.140841126002</v>
      </c>
    </row>
    <row r="34" customFormat="false" ht="15" hidden="false" customHeight="false" outlineLevel="0" collapsed="false">
      <c r="A34" s="18" t="s">
        <v>223</v>
      </c>
      <c r="B34" s="43" t="n">
        <f aca="false">(1-D6)*B6</f>
        <v>20019492.7556</v>
      </c>
      <c r="C34" s="43" t="n">
        <f aca="false">EthanolImpact!$H$5</f>
        <v>1160.45454545455</v>
      </c>
      <c r="D34" s="44" t="n">
        <f aca="false">B34*C34/10000000</f>
        <v>2323.17113659304</v>
      </c>
    </row>
    <row r="35" customFormat="false" ht="15" hidden="false" customHeight="false" outlineLevel="0" collapsed="false">
      <c r="A35" s="18" t="s">
        <v>224</v>
      </c>
      <c r="B35" s="45" t="n">
        <v>40000000</v>
      </c>
      <c r="C35" s="43" t="n">
        <f aca="false">EthanolImpact!$H$6</f>
        <v>3989.06250000001</v>
      </c>
      <c r="D35" s="44" t="n">
        <f aca="false">B35*C35/10000000</f>
        <v>15956.25</v>
      </c>
    </row>
    <row r="36" customFormat="false" ht="15" hidden="false" customHeight="false" outlineLevel="0" collapsed="false">
      <c r="A36" s="18" t="s">
        <v>225</v>
      </c>
      <c r="B36" s="45" t="n">
        <v>200000000</v>
      </c>
      <c r="C36" s="43" t="n">
        <f aca="false">EthanolImpact!$H$5</f>
        <v>1160.45454545455</v>
      </c>
      <c r="D36" s="44" t="n">
        <f aca="false">B36*C36/10000000</f>
        <v>23209.090909091</v>
      </c>
    </row>
    <row r="37" customFormat="false" ht="15" hidden="false" customHeight="false" outlineLevel="0" collapsed="false">
      <c r="A37" s="35" t="s">
        <v>226</v>
      </c>
      <c r="B37" s="18"/>
      <c r="C37" s="38"/>
      <c r="D37" s="41" t="n">
        <f aca="false">D35+D36</f>
        <v>39165.340909091</v>
      </c>
    </row>
    <row r="38" customFormat="false" ht="15" hidden="false" customHeight="false" outlineLevel="0" collapsed="false">
      <c r="A38" s="35" t="s">
        <v>227</v>
      </c>
      <c r="B38" s="38"/>
      <c r="C38" s="38"/>
      <c r="D38" s="41" t="n">
        <f aca="false">D33+D34</f>
        <v>3214.31197771904</v>
      </c>
    </row>
    <row r="40" customFormat="false" ht="15" hidden="false" customHeight="false" outlineLevel="0" collapsed="false">
      <c r="A40" s="5" t="s">
        <v>228</v>
      </c>
    </row>
    <row r="42" customFormat="false" ht="15" hidden="false" customHeight="false" outlineLevel="0" collapsed="false">
      <c r="A42" s="6" t="s">
        <v>229</v>
      </c>
      <c r="B42" s="7"/>
      <c r="C42" s="7"/>
      <c r="D42" s="7"/>
    </row>
    <row r="43" customFormat="false" ht="15" hidden="false" customHeight="false" outlineLevel="0" collapsed="false">
      <c r="A43" s="17" t="s">
        <v>193</v>
      </c>
      <c r="B43" s="17" t="s">
        <v>230</v>
      </c>
      <c r="C43" s="17" t="s">
        <v>231</v>
      </c>
      <c r="D43" s="17" t="s">
        <v>232</v>
      </c>
    </row>
    <row r="44" customFormat="false" ht="15" hidden="false" customHeight="false" outlineLevel="0" collapsed="false">
      <c r="A44" s="9" t="s">
        <v>199</v>
      </c>
      <c r="B44" s="20" t="n">
        <v>4643439</v>
      </c>
      <c r="C44" s="29" t="n">
        <f aca="false">B8</f>
        <v>4705056</v>
      </c>
      <c r="D44" s="46" t="n">
        <f aca="false">(C44-B44)/B44</f>
        <v>0.013269690847667</v>
      </c>
    </row>
    <row r="45" customFormat="false" ht="15" hidden="false" customHeight="false" outlineLevel="0" collapsed="false">
      <c r="A45" s="9" t="s">
        <v>197</v>
      </c>
      <c r="B45" s="20" t="n">
        <v>21705974</v>
      </c>
      <c r="C45" s="29" t="n">
        <f aca="false">B6</f>
        <v>21420386</v>
      </c>
      <c r="D45" s="46" t="n">
        <f aca="false">(C45-B45)/B45</f>
        <v>-0.0131571151794432</v>
      </c>
    </row>
    <row r="46" customFormat="false" ht="15" hidden="false" customHeight="false" outlineLevel="0" collapsed="false">
      <c r="A46" s="9" t="s">
        <v>198</v>
      </c>
      <c r="B46" s="20" t="n">
        <v>836231</v>
      </c>
      <c r="C46" s="29" t="n">
        <f aca="false">B7</f>
        <v>1363412</v>
      </c>
      <c r="D46" s="46" t="n">
        <f aca="false">(C46-B46)/B46</f>
        <v>0.630425085891339</v>
      </c>
    </row>
    <row r="47" customFormat="false" ht="15" hidden="false" customHeight="false" outlineLevel="0" collapsed="false">
      <c r="A47" s="9" t="s">
        <v>200</v>
      </c>
      <c r="B47" s="20" t="n">
        <v>1079871</v>
      </c>
      <c r="C47" s="29" t="n">
        <f aca="false">B9</f>
        <v>1060906</v>
      </c>
      <c r="D47" s="46" t="n">
        <f aca="false">(C47-B47)/B47</f>
        <v>-0.0175622829023096</v>
      </c>
    </row>
    <row r="48" customFormat="false" ht="15" hidden="false" customHeight="false" outlineLevel="0" collapsed="false">
      <c r="A48" s="5" t="s">
        <v>233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6"/>
    <col collapsed="false" customWidth="true" hidden="false" outlineLevel="0" max="4" min="3" style="0" width="13"/>
    <col collapsed="false" customWidth="true" hidden="false" outlineLevel="0" max="5" min="5" style="0" width="17"/>
    <col collapsed="false" customWidth="true" hidden="false" outlineLevel="0" max="6" min="6" style="0" width="16"/>
    <col collapsed="false" customWidth="true" hidden="false" outlineLevel="0" max="7" min="7" style="0" width="18"/>
  </cols>
  <sheetData>
    <row r="1" customFormat="false" ht="17.35" hidden="false" customHeight="false" outlineLevel="0" collapsed="false">
      <c r="A1" s="1" t="s">
        <v>234</v>
      </c>
    </row>
    <row r="2" customFormat="false" ht="15" hidden="false" customHeight="false" outlineLevel="0" collapsed="false">
      <c r="A2" s="5" t="s">
        <v>235</v>
      </c>
    </row>
    <row r="4" customFormat="false" ht="39.75" hidden="false" customHeight="true" outlineLevel="0" collapsed="false">
      <c r="A4" s="23" t="s">
        <v>101</v>
      </c>
      <c r="B4" s="23" t="s">
        <v>236</v>
      </c>
      <c r="C4" s="23" t="s">
        <v>102</v>
      </c>
      <c r="D4" s="23" t="s">
        <v>103</v>
      </c>
      <c r="E4" s="23" t="s">
        <v>237</v>
      </c>
      <c r="F4" s="23" t="s">
        <v>238</v>
      </c>
      <c r="G4" s="23" t="s">
        <v>239</v>
      </c>
    </row>
    <row r="5" customFormat="false" ht="15" hidden="false" customHeight="false" outlineLevel="0" collapsed="false">
      <c r="A5" s="9" t="s">
        <v>27</v>
      </c>
      <c r="B5" s="9" t="s">
        <v>27</v>
      </c>
      <c r="C5" s="14" t="n">
        <v>102.12</v>
      </c>
      <c r="D5" s="14" t="n">
        <v>95.2</v>
      </c>
      <c r="E5" s="13" t="n">
        <f aca="false">C5/(Assumptions!$B$22*(1-Assumptions!$B$17))</f>
        <v>6.6484375</v>
      </c>
      <c r="F5" s="13" t="n">
        <f aca="false">D5/Assumptions!$C$24</f>
        <v>5.01052631578947</v>
      </c>
      <c r="G5" s="47" t="n">
        <f aca="false">C5-$C$5</f>
        <v>0</v>
      </c>
    </row>
    <row r="6" customFormat="false" ht="15" hidden="false" customHeight="false" outlineLevel="0" collapsed="false">
      <c r="A6" s="9" t="s">
        <v>240</v>
      </c>
      <c r="B6" s="9" t="s">
        <v>241</v>
      </c>
      <c r="C6" s="14" t="n">
        <v>101.54</v>
      </c>
      <c r="D6" s="14" t="n">
        <v>89.47</v>
      </c>
      <c r="E6" s="13" t="n">
        <f aca="false">C6/(Assumptions!$B$22*(1-Assumptions!$B$17))</f>
        <v>6.61067708333333</v>
      </c>
      <c r="F6" s="13" t="n">
        <f aca="false">D6/Assumptions!$C$24</f>
        <v>4.70894736842105</v>
      </c>
      <c r="G6" s="47" t="n">
        <f aca="false">C6-$C$5</f>
        <v>-0.579999999999998</v>
      </c>
    </row>
    <row r="7" customFormat="false" ht="15" hidden="false" customHeight="false" outlineLevel="0" collapsed="false">
      <c r="A7" s="9" t="s">
        <v>242</v>
      </c>
      <c r="B7" s="9" t="s">
        <v>243</v>
      </c>
      <c r="C7" s="14" t="n">
        <v>101.86</v>
      </c>
      <c r="D7" s="14" t="n">
        <v>95.36</v>
      </c>
      <c r="E7" s="13" t="n">
        <f aca="false">C7/(Assumptions!$B$22*(1-Assumptions!$B$17))</f>
        <v>6.63151041666667</v>
      </c>
      <c r="F7" s="13" t="n">
        <f aca="false">D7/Assumptions!$C$24</f>
        <v>5.01894736842105</v>
      </c>
      <c r="G7" s="47" t="n">
        <f aca="false">C7-$C$5</f>
        <v>-0.260000000000005</v>
      </c>
    </row>
    <row r="8" customFormat="false" ht="15" hidden="false" customHeight="false" outlineLevel="0" collapsed="false">
      <c r="A8" s="9" t="s">
        <v>244</v>
      </c>
      <c r="B8" s="9" t="s">
        <v>243</v>
      </c>
      <c r="C8" s="14" t="n">
        <v>101.96</v>
      </c>
      <c r="D8" s="14" t="n">
        <v>95.44</v>
      </c>
      <c r="E8" s="13" t="n">
        <f aca="false">C8/(Assumptions!$B$22*(1-Assumptions!$B$17))</f>
        <v>6.63802083333333</v>
      </c>
      <c r="F8" s="13" t="n">
        <f aca="false">D8/Assumptions!$C$24</f>
        <v>5.02315789473684</v>
      </c>
      <c r="G8" s="47" t="n">
        <f aca="false">C8-$C$5</f>
        <v>-0.160000000000011</v>
      </c>
    </row>
    <row r="9" customFormat="false" ht="15" hidden="false" customHeight="false" outlineLevel="0" collapsed="false">
      <c r="A9" s="9" t="s">
        <v>245</v>
      </c>
      <c r="B9" s="9" t="s">
        <v>246</v>
      </c>
      <c r="C9" s="14" t="n">
        <v>102.97</v>
      </c>
      <c r="D9" s="14" t="n">
        <v>95.64</v>
      </c>
      <c r="E9" s="13" t="n">
        <f aca="false">C9/(Assumptions!$B$22*(1-Assumptions!$B$17))</f>
        <v>6.70377604166667</v>
      </c>
      <c r="F9" s="13" t="n">
        <f aca="false">D9/Assumptions!$C$24</f>
        <v>5.03368421052632</v>
      </c>
      <c r="G9" s="47" t="n">
        <f aca="false">C9-$C$5</f>
        <v>0.849999999999994</v>
      </c>
    </row>
    <row r="10" customFormat="false" ht="15" hidden="false" customHeight="false" outlineLevel="0" collapsed="false">
      <c r="A10" s="9" t="s">
        <v>114</v>
      </c>
      <c r="B10" s="9" t="s">
        <v>247</v>
      </c>
      <c r="C10" s="14" t="n">
        <v>107.76</v>
      </c>
      <c r="D10" s="14" t="n">
        <v>99.55</v>
      </c>
      <c r="E10" s="13" t="n">
        <f aca="false">C10/(Assumptions!$B$22*(1-Assumptions!$B$17))</f>
        <v>7.015625</v>
      </c>
      <c r="F10" s="13" t="n">
        <f aca="false">D10/Assumptions!$C$24</f>
        <v>5.23947368421053</v>
      </c>
      <c r="G10" s="47" t="n">
        <f aca="false">C10-$C$5</f>
        <v>5.64</v>
      </c>
    </row>
    <row r="11" customFormat="false" ht="15" hidden="false" customHeight="false" outlineLevel="0" collapsed="false">
      <c r="A11" s="9" t="s">
        <v>248</v>
      </c>
      <c r="B11" s="9" t="s">
        <v>249</v>
      </c>
      <c r="C11" s="14" t="n">
        <v>110.49</v>
      </c>
      <c r="D11" s="14" t="n">
        <v>100.68</v>
      </c>
      <c r="E11" s="13" t="n">
        <f aca="false">C11/(Assumptions!$B$22*(1-Assumptions!$B$17))</f>
        <v>7.193359375</v>
      </c>
      <c r="F11" s="13" t="n">
        <f aca="false">D11/Assumptions!$C$24</f>
        <v>5.29894736842105</v>
      </c>
      <c r="G11" s="47" t="n">
        <f aca="false">C11-$C$5</f>
        <v>8.36999999999999</v>
      </c>
    </row>
    <row r="12" customFormat="false" ht="15" hidden="false" customHeight="false" outlineLevel="0" collapsed="false">
      <c r="A12" s="9" t="s">
        <v>115</v>
      </c>
      <c r="B12" s="9" t="s">
        <v>250</v>
      </c>
      <c r="C12" s="14" t="n">
        <v>110.82</v>
      </c>
      <c r="D12" s="14" t="n">
        <v>99.56</v>
      </c>
      <c r="E12" s="13" t="n">
        <f aca="false">C12/(Assumptions!$B$22*(1-Assumptions!$B$17))</f>
        <v>7.21484375</v>
      </c>
      <c r="F12" s="13" t="n">
        <f aca="false">D12/Assumptions!$C$24</f>
        <v>5.24</v>
      </c>
      <c r="G12" s="47" t="n">
        <f aca="false">C12-$C$5</f>
        <v>8.69999999999999</v>
      </c>
    </row>
    <row r="13" customFormat="false" ht="15" hidden="false" customHeight="false" outlineLevel="0" collapsed="false">
      <c r="A13" s="9" t="s">
        <v>112</v>
      </c>
      <c r="B13" s="9" t="s">
        <v>251</v>
      </c>
      <c r="C13" s="14" t="n">
        <v>111.21</v>
      </c>
      <c r="D13" s="14" t="n">
        <v>97.83</v>
      </c>
      <c r="E13" s="13" t="n">
        <f aca="false">C13/(Assumptions!$B$22*(1-Assumptions!$B$17))</f>
        <v>7.240234375</v>
      </c>
      <c r="F13" s="13" t="n">
        <f aca="false">D13/Assumptions!$C$24</f>
        <v>5.14894736842105</v>
      </c>
      <c r="G13" s="47" t="n">
        <f aca="false">C13-$C$5</f>
        <v>9.08999999999999</v>
      </c>
    </row>
    <row r="14" customFormat="false" ht="15" hidden="false" customHeight="false" outlineLevel="0" collapsed="false">
      <c r="A14" s="9" t="s">
        <v>252</v>
      </c>
      <c r="B14" s="9" t="s">
        <v>253</v>
      </c>
      <c r="C14" s="14" t="n">
        <v>112.66</v>
      </c>
      <c r="D14" s="14" t="n">
        <v>98.25</v>
      </c>
      <c r="E14" s="13" t="n">
        <f aca="false">C14/(Assumptions!$B$22*(1-Assumptions!$B$17))</f>
        <v>7.33463541666667</v>
      </c>
      <c r="F14" s="13" t="n">
        <f aca="false">D14/Assumptions!$C$24</f>
        <v>5.17105263157895</v>
      </c>
      <c r="G14" s="47" t="n">
        <f aca="false">C14-$C$5</f>
        <v>10.54</v>
      </c>
    </row>
    <row r="15" customFormat="false" ht="15" hidden="false" customHeight="false" outlineLevel="0" collapsed="false">
      <c r="A15" s="9" t="s">
        <v>113</v>
      </c>
      <c r="B15" s="9" t="s">
        <v>254</v>
      </c>
      <c r="C15" s="14" t="n">
        <v>113.51</v>
      </c>
      <c r="D15" s="14" t="n">
        <v>99.82</v>
      </c>
      <c r="E15" s="13" t="n">
        <f aca="false">C15/(Assumptions!$B$22*(1-Assumptions!$B$17))</f>
        <v>7.38997395833333</v>
      </c>
      <c r="F15" s="13" t="n">
        <f aca="false">D15/Assumptions!$C$24</f>
        <v>5.25368421052632</v>
      </c>
      <c r="G15" s="47" t="n">
        <f aca="false">C15-$C$5</f>
        <v>11.39</v>
      </c>
    </row>
    <row r="16" customFormat="false" ht="15" hidden="false" customHeight="false" outlineLevel="0" collapsed="false">
      <c r="A16" s="9" t="s">
        <v>255</v>
      </c>
      <c r="B16" s="9" t="s">
        <v>256</v>
      </c>
      <c r="C16" s="14" t="n">
        <v>113.53</v>
      </c>
      <c r="D16" s="14" t="n">
        <v>99.36</v>
      </c>
      <c r="E16" s="13" t="n">
        <f aca="false">C16/(Assumptions!$B$22*(1-Assumptions!$B$17))</f>
        <v>7.39127604166667</v>
      </c>
      <c r="F16" s="13" t="n">
        <f aca="false">D16/Assumptions!$C$24</f>
        <v>5.22947368421053</v>
      </c>
      <c r="G16" s="47" t="n">
        <f aca="false">C16-$C$5</f>
        <v>11.41</v>
      </c>
    </row>
    <row r="17" customFormat="false" ht="15" hidden="false" customHeight="false" outlineLevel="0" collapsed="false">
      <c r="A17" s="9" t="s">
        <v>257</v>
      </c>
      <c r="B17" s="9" t="s">
        <v>258</v>
      </c>
      <c r="C17" s="14" t="n">
        <v>115.49</v>
      </c>
      <c r="D17" s="14" t="n">
        <v>104.4</v>
      </c>
      <c r="E17" s="13" t="n">
        <f aca="false">C17/(Assumptions!$B$22*(1-Assumptions!$B$17))</f>
        <v>7.51888020833333</v>
      </c>
      <c r="F17" s="13" t="n">
        <f aca="false">D17/Assumptions!$C$24</f>
        <v>5.49473684210526</v>
      </c>
      <c r="G17" s="47" t="n">
        <f aca="false">C17-$C$5</f>
        <v>13.37</v>
      </c>
    </row>
    <row r="18" customFormat="false" ht="15" hidden="false" customHeight="false" outlineLevel="0" collapsed="false">
      <c r="A18" s="9" t="s">
        <v>116</v>
      </c>
      <c r="B18" s="9" t="s">
        <v>259</v>
      </c>
      <c r="C18" s="14" t="n">
        <v>115.69</v>
      </c>
      <c r="D18" s="14" t="n">
        <v>103.82</v>
      </c>
      <c r="E18" s="13" t="n">
        <f aca="false">C18/(Assumptions!$B$22*(1-Assumptions!$B$17))</f>
        <v>7.53190104166667</v>
      </c>
      <c r="F18" s="13" t="n">
        <f aca="false">D18/Assumptions!$C$24</f>
        <v>5.46421052631579</v>
      </c>
      <c r="G18" s="47" t="n">
        <f aca="false">C18-$C$5</f>
        <v>13.57</v>
      </c>
    </row>
    <row r="20" customFormat="false" ht="15" hidden="false" customHeight="false" outlineLevel="0" collapsed="false">
      <c r="A20" s="48" t="s">
        <v>260</v>
      </c>
      <c r="C20" s="49" t="n">
        <f aca="false">MIN(C5:C18)</f>
        <v>101.54</v>
      </c>
    </row>
    <row r="21" customFormat="false" ht="15" hidden="false" customHeight="false" outlineLevel="0" collapsed="false">
      <c r="A21" s="48" t="s">
        <v>261</v>
      </c>
      <c r="C21" s="49" t="n">
        <f aca="false">MAX(C5:C18)</f>
        <v>115.69</v>
      </c>
    </row>
    <row r="22" customFormat="false" ht="15" hidden="false" customHeight="false" outlineLevel="0" collapsed="false">
      <c r="A22" s="48" t="s">
        <v>262</v>
      </c>
      <c r="C22" s="49" t="n">
        <f aca="false">MAX(C5:C18)-MIN(C5:C18)</f>
        <v>14.15</v>
      </c>
    </row>
    <row r="23" customFormat="false" ht="15" hidden="false" customHeight="false" outlineLevel="0" collapsed="false">
      <c r="A23" s="48" t="s">
        <v>263</v>
      </c>
      <c r="C23" s="50" t="n">
        <f aca="false">(MAX(C5:C18)-MIN(C5:C18))/MIN(C5:C18)</f>
        <v>0.139353949182588</v>
      </c>
    </row>
    <row r="24" customFormat="false" ht="15" hidden="false" customHeight="false" outlineLevel="0" collapsed="false">
      <c r="A24" s="48" t="s">
        <v>264</v>
      </c>
      <c r="C24" s="49" t="n">
        <f aca="false">MAX(D5:D18)-MIN(D5:D18)</f>
        <v>14.93</v>
      </c>
    </row>
    <row r="25" customFormat="false" ht="15" hidden="false" customHeight="false" outlineLevel="0" collapsed="false">
      <c r="A25" s="5" t="s">
        <v>265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6"/>
    <col collapsed="false" customWidth="true" hidden="false" outlineLevel="0" max="3" min="3" style="0" width="10"/>
    <col collapsed="false" customWidth="true" hidden="false" outlineLevel="0" max="4" min="4" style="0" width="40"/>
  </cols>
  <sheetData>
    <row r="1" customFormat="false" ht="17.35" hidden="false" customHeight="false" outlineLevel="0" collapsed="false">
      <c r="A1" s="1" t="s">
        <v>266</v>
      </c>
    </row>
    <row r="2" customFormat="false" ht="15" hidden="false" customHeight="false" outlineLevel="0" collapsed="false">
      <c r="A2" s="5" t="s">
        <v>267</v>
      </c>
    </row>
    <row r="4" customFormat="false" ht="15" hidden="false" customHeight="false" outlineLevel="0" collapsed="false">
      <c r="A4" s="6" t="s">
        <v>268</v>
      </c>
      <c r="B4" s="7"/>
      <c r="C4" s="7"/>
      <c r="D4" s="7"/>
    </row>
    <row r="5" customFormat="false" ht="15" hidden="false" customHeight="false" outlineLevel="0" collapsed="false">
      <c r="A5" s="9" t="s">
        <v>269</v>
      </c>
      <c r="B5" s="51" t="n">
        <v>42.663</v>
      </c>
      <c r="C5" s="11" t="s">
        <v>270</v>
      </c>
      <c r="D5" s="12" t="s">
        <v>271</v>
      </c>
    </row>
    <row r="6" customFormat="false" ht="15" hidden="false" customHeight="false" outlineLevel="0" collapsed="false">
      <c r="A6" s="9" t="s">
        <v>272</v>
      </c>
      <c r="B6" s="51" t="n">
        <v>93.946</v>
      </c>
      <c r="C6" s="11" t="s">
        <v>270</v>
      </c>
      <c r="D6" s="12" t="s">
        <v>271</v>
      </c>
    </row>
    <row r="7" customFormat="false" ht="15" hidden="false" customHeight="false" outlineLevel="0" collapsed="false">
      <c r="A7" s="9" t="s">
        <v>273</v>
      </c>
      <c r="B7" s="52" t="n">
        <v>0.74</v>
      </c>
      <c r="C7" s="11" t="s">
        <v>274</v>
      </c>
      <c r="D7" s="12" t="s">
        <v>275</v>
      </c>
    </row>
    <row r="8" customFormat="false" ht="15" hidden="false" customHeight="false" outlineLevel="0" collapsed="false">
      <c r="A8" s="9" t="s">
        <v>276</v>
      </c>
      <c r="B8" s="52" t="n">
        <v>0.83</v>
      </c>
      <c r="C8" s="11" t="s">
        <v>274</v>
      </c>
      <c r="D8" s="12" t="s">
        <v>275</v>
      </c>
    </row>
    <row r="9" customFormat="false" ht="15" hidden="false" customHeight="false" outlineLevel="0" collapsed="false">
      <c r="A9" s="9" t="s">
        <v>277</v>
      </c>
      <c r="B9" s="29" t="n">
        <f aca="false">ExchequerRevenue!$B$5*100/ExchequerRevenue!$B$7</f>
        <v>5765.27027027027</v>
      </c>
      <c r="C9" s="11" t="s">
        <v>278</v>
      </c>
      <c r="D9" s="12" t="s">
        <v>279</v>
      </c>
    </row>
    <row r="10" customFormat="false" ht="15" hidden="false" customHeight="false" outlineLevel="0" collapsed="false">
      <c r="A10" s="9" t="s">
        <v>280</v>
      </c>
      <c r="B10" s="29" t="n">
        <f aca="false">ExchequerRevenue!$B$6*100/ExchequerRevenue!$B$8</f>
        <v>11318.7951807229</v>
      </c>
      <c r="C10" s="11" t="s">
        <v>278</v>
      </c>
      <c r="D10" s="12"/>
    </row>
    <row r="11" customFormat="false" ht="15" hidden="false" customHeight="false" outlineLevel="0" collapsed="false">
      <c r="A11" s="6" t="s">
        <v>281</v>
      </c>
      <c r="B11" s="7"/>
      <c r="C11" s="7"/>
      <c r="D11" s="7"/>
    </row>
    <row r="12" customFormat="false" ht="15" hidden="false" customHeight="false" outlineLevel="0" collapsed="false">
      <c r="A12" s="9" t="s">
        <v>282</v>
      </c>
      <c r="B12" s="14" t="n">
        <v>13</v>
      </c>
      <c r="C12" s="11" t="s">
        <v>163</v>
      </c>
      <c r="D12" s="12" t="s">
        <v>283</v>
      </c>
    </row>
    <row r="13" customFormat="false" ht="15" hidden="false" customHeight="false" outlineLevel="0" collapsed="false">
      <c r="A13" s="9" t="s">
        <v>284</v>
      </c>
      <c r="B13" s="14" t="n">
        <v>10</v>
      </c>
      <c r="C13" s="11" t="s">
        <v>163</v>
      </c>
      <c r="D13" s="12" t="s">
        <v>283</v>
      </c>
    </row>
    <row r="14" customFormat="false" ht="15" hidden="false" customHeight="false" outlineLevel="0" collapsed="false">
      <c r="A14" s="9" t="s">
        <v>285</v>
      </c>
      <c r="B14" s="53" t="n">
        <v>18</v>
      </c>
      <c r="C14" s="11" t="s">
        <v>163</v>
      </c>
      <c r="D14" s="12" t="s">
        <v>286</v>
      </c>
    </row>
    <row r="15" customFormat="false" ht="15" hidden="false" customHeight="false" outlineLevel="0" collapsed="false">
      <c r="A15" s="9" t="s">
        <v>287</v>
      </c>
      <c r="B15" s="53" t="n">
        <v>12</v>
      </c>
      <c r="C15" s="11" t="s">
        <v>163</v>
      </c>
      <c r="D15" s="12" t="s">
        <v>288</v>
      </c>
    </row>
    <row r="16" customFormat="false" ht="15" hidden="false" customHeight="false" outlineLevel="0" collapsed="false">
      <c r="A16" s="9" t="s">
        <v>289</v>
      </c>
      <c r="B16" s="13" t="n">
        <f aca="false">(ExchequerRevenue!$B$9*ExchequerRevenue!$B$12+ExchequerRevenue!$B$10*ExchequerRevenue!$B$13)/100000</f>
        <v>1.88136465320742</v>
      </c>
      <c r="C16" s="11" t="s">
        <v>290</v>
      </c>
      <c r="D16" s="12" t="s">
        <v>291</v>
      </c>
    </row>
    <row r="17" customFormat="false" ht="15" hidden="false" customHeight="false" outlineLevel="0" collapsed="false">
      <c r="A17" s="9" t="s">
        <v>292</v>
      </c>
      <c r="B17" s="13" t="n">
        <f aca="false">(ExchequerRevenue!$B$9*ExchequerRevenue!$B$14+ExchequerRevenue!$B$10*ExchequerRevenue!$B$15)/100000</f>
        <v>2.3960040703354</v>
      </c>
      <c r="C17" s="11" t="s">
        <v>290</v>
      </c>
      <c r="D17" s="12" t="s">
        <v>293</v>
      </c>
    </row>
    <row r="18" customFormat="false" ht="15" hidden="false" customHeight="false" outlineLevel="0" collapsed="false">
      <c r="A18" s="9" t="s">
        <v>294</v>
      </c>
      <c r="B18" s="13" t="n">
        <f aca="false">ExchequerRevenue!$B$16+ExchequerRevenue!$B$17</f>
        <v>4.27736872354282</v>
      </c>
      <c r="C18" s="11" t="s">
        <v>290</v>
      </c>
      <c r="D18" s="12" t="s">
        <v>295</v>
      </c>
    </row>
    <row r="19" customFormat="false" ht="15" hidden="false" customHeight="false" outlineLevel="0" collapsed="false">
      <c r="A19" s="6" t="s">
        <v>296</v>
      </c>
      <c r="B19" s="7"/>
      <c r="C19" s="7"/>
      <c r="D19" s="7"/>
    </row>
    <row r="20" customFormat="false" ht="15" hidden="false" customHeight="false" outlineLevel="0" collapsed="false">
      <c r="A20" s="9" t="s">
        <v>297</v>
      </c>
      <c r="B20" s="20" t="n">
        <v>90000</v>
      </c>
      <c r="C20" s="11" t="s">
        <v>298</v>
      </c>
      <c r="D20" s="12" t="s">
        <v>299</v>
      </c>
    </row>
    <row r="21" customFormat="false" ht="15" hidden="false" customHeight="false" outlineLevel="0" collapsed="false">
      <c r="A21" s="9" t="s">
        <v>300</v>
      </c>
      <c r="B21" s="16" t="n">
        <v>0.18</v>
      </c>
      <c r="C21" s="11" t="s">
        <v>301</v>
      </c>
      <c r="D21" s="12" t="s">
        <v>302</v>
      </c>
    </row>
    <row r="22" customFormat="false" ht="15" hidden="false" customHeight="false" outlineLevel="0" collapsed="false">
      <c r="A22" s="9" t="s">
        <v>303</v>
      </c>
      <c r="B22" s="20" t="n">
        <v>1000000</v>
      </c>
      <c r="C22" s="11" t="s">
        <v>298</v>
      </c>
      <c r="D22" s="12" t="s">
        <v>299</v>
      </c>
    </row>
    <row r="23" customFormat="false" ht="15" hidden="false" customHeight="false" outlineLevel="0" collapsed="false">
      <c r="A23" s="9" t="s">
        <v>304</v>
      </c>
      <c r="B23" s="15" t="n">
        <v>0.279</v>
      </c>
      <c r="C23" s="11" t="s">
        <v>301</v>
      </c>
      <c r="D23" s="12" t="s">
        <v>305</v>
      </c>
    </row>
    <row r="24" customFormat="false" ht="15" hidden="false" customHeight="false" outlineLevel="0" collapsed="false">
      <c r="A24" s="9" t="s">
        <v>306</v>
      </c>
      <c r="B24" s="13" t="n">
        <f aca="false">FleetSales!$B$6*ExchequerRevenue!$B$20*ExchequerRevenue!$B$21/1000000000000</f>
        <v>0.3470102532</v>
      </c>
      <c r="C24" s="11" t="s">
        <v>290</v>
      </c>
      <c r="D24" s="12" t="s">
        <v>307</v>
      </c>
    </row>
    <row r="25" customFormat="false" ht="15" hidden="false" customHeight="false" outlineLevel="0" collapsed="false">
      <c r="A25" s="9" t="s">
        <v>308</v>
      </c>
      <c r="B25" s="13" t="n">
        <f aca="false">FleetSales!$B$8*ExchequerRevenue!$B$22*ExchequerRevenue!$B$23/1000000000000</f>
        <v>1.312710624</v>
      </c>
      <c r="C25" s="11" t="s">
        <v>290</v>
      </c>
      <c r="D25" s="12" t="s">
        <v>309</v>
      </c>
    </row>
    <row r="26" customFormat="false" ht="15" hidden="false" customHeight="false" outlineLevel="0" collapsed="false">
      <c r="A26" s="9" t="s">
        <v>310</v>
      </c>
      <c r="B26" s="13" t="n">
        <f aca="false">ExchequerRevenue!$B$24+ExchequerRevenue!$B$25</f>
        <v>1.6597208772</v>
      </c>
      <c r="C26" s="11" t="s">
        <v>290</v>
      </c>
      <c r="D26" s="12" t="s">
        <v>311</v>
      </c>
    </row>
    <row r="27" customFormat="false" ht="15" hidden="false" customHeight="false" outlineLevel="0" collapsed="false">
      <c r="A27" s="6" t="s">
        <v>312</v>
      </c>
      <c r="B27" s="7"/>
      <c r="C27" s="7"/>
      <c r="D27" s="7"/>
    </row>
    <row r="28" customFormat="false" ht="15" hidden="false" customHeight="false" outlineLevel="0" collapsed="false">
      <c r="A28" s="9" t="s">
        <v>313</v>
      </c>
      <c r="B28" s="15" t="n">
        <v>0.07</v>
      </c>
      <c r="C28" s="11" t="s">
        <v>314</v>
      </c>
      <c r="D28" s="12" t="s">
        <v>315</v>
      </c>
    </row>
    <row r="29" customFormat="false" ht="15" hidden="false" customHeight="false" outlineLevel="0" collapsed="false">
      <c r="A29" s="9" t="s">
        <v>316</v>
      </c>
      <c r="B29" s="15" t="n">
        <v>0.04</v>
      </c>
      <c r="C29" s="11" t="s">
        <v>314</v>
      </c>
      <c r="D29" s="12" t="s">
        <v>317</v>
      </c>
    </row>
    <row r="30" customFormat="false" ht="15" hidden="false" customHeight="false" outlineLevel="0" collapsed="false">
      <c r="A30" s="9" t="s">
        <v>318</v>
      </c>
      <c r="B30" s="15" t="n">
        <v>0.133</v>
      </c>
      <c r="C30" s="11" t="s">
        <v>314</v>
      </c>
      <c r="D30" s="12" t="s">
        <v>319</v>
      </c>
    </row>
    <row r="31" customFormat="false" ht="15" hidden="false" customHeight="false" outlineLevel="0" collapsed="false">
      <c r="A31" s="9" t="s">
        <v>320</v>
      </c>
      <c r="B31" s="13" t="n">
        <f aca="false">(ExchequerRevenue!$B$9*(ExchequerRevenue!$B$12+ExchequerRevenue!$B$14))/100000*ExchequerRevenue!$B$28</f>
        <v>0.125106364864865</v>
      </c>
      <c r="C31" s="11" t="s">
        <v>290</v>
      </c>
      <c r="D31" s="12" t="s">
        <v>321</v>
      </c>
    </row>
    <row r="32" customFormat="false" ht="15" hidden="false" customHeight="false" outlineLevel="0" collapsed="false">
      <c r="A32" s="9" t="s">
        <v>322</v>
      </c>
      <c r="B32" s="13" t="n">
        <f aca="false">(ExchequerRevenue!$B$10*(ExchequerRevenue!$B$13+ExchequerRevenue!$B$15))/100000*ExchequerRevenue!$B$29</f>
        <v>0.0996053975903615</v>
      </c>
      <c r="C32" s="11" t="s">
        <v>290</v>
      </c>
      <c r="D32" s="12"/>
    </row>
    <row r="33" customFormat="false" ht="15" hidden="false" customHeight="false" outlineLevel="0" collapsed="false">
      <c r="A33" s="9" t="s">
        <v>323</v>
      </c>
      <c r="B33" s="13" t="n">
        <f aca="false">ExchequerRevenue!$B$26*ExchequerRevenue!$B$30</f>
        <v>0.2207428766676</v>
      </c>
      <c r="C33" s="11" t="s">
        <v>290</v>
      </c>
      <c r="D33" s="12" t="s">
        <v>324</v>
      </c>
    </row>
    <row r="34" customFormat="false" ht="15" hidden="false" customHeight="false" outlineLevel="0" collapsed="false">
      <c r="A34" s="9" t="s">
        <v>325</v>
      </c>
      <c r="B34" s="13" t="n">
        <f aca="false">ExchequerRevenue!$B$31+ExchequerRevenue!$B$32+ExchequerRevenue!$B$33</f>
        <v>0.445454639122826</v>
      </c>
      <c r="C34" s="11" t="s">
        <v>290</v>
      </c>
      <c r="D34" s="12" t="s">
        <v>326</v>
      </c>
    </row>
    <row r="35" customFormat="false" ht="15" hidden="false" customHeight="false" outlineLevel="0" collapsed="false">
      <c r="A35" s="6" t="s">
        <v>327</v>
      </c>
      <c r="B35" s="7"/>
      <c r="C35" s="7"/>
      <c r="D35" s="7"/>
    </row>
    <row r="36" customFormat="false" ht="15" hidden="false" customHeight="false" outlineLevel="0" collapsed="false">
      <c r="A36" s="9" t="s">
        <v>328</v>
      </c>
      <c r="B36" s="16" t="n">
        <v>0.2</v>
      </c>
      <c r="C36" s="11" t="s">
        <v>301</v>
      </c>
      <c r="D36" s="12" t="s">
        <v>329</v>
      </c>
    </row>
    <row r="37" customFormat="false" ht="15" hidden="false" customHeight="false" outlineLevel="0" collapsed="false">
      <c r="A37" s="9" t="s">
        <v>330</v>
      </c>
      <c r="B37" s="14" t="n">
        <v>28</v>
      </c>
      <c r="C37" s="11" t="s">
        <v>163</v>
      </c>
      <c r="D37" s="12" t="s">
        <v>331</v>
      </c>
    </row>
    <row r="38" customFormat="false" ht="15" hidden="false" customHeight="false" outlineLevel="0" collapsed="false">
      <c r="A38" s="9" t="s">
        <v>332</v>
      </c>
      <c r="B38" s="13" t="n">
        <f aca="false">ExchequerRevenue!$B$9*ExchequerRevenue!$B$36*ExchequerRevenue!$B$37/100000</f>
        <v>0.322855135135135</v>
      </c>
      <c r="C38" s="11" t="s">
        <v>290</v>
      </c>
      <c r="D38" s="12" t="s">
        <v>333</v>
      </c>
    </row>
    <row r="39" customFormat="false" ht="15" hidden="false" customHeight="false" outlineLevel="0" collapsed="false">
      <c r="A39" s="5" t="s">
        <v>334</v>
      </c>
    </row>
    <row r="41" customFormat="false" ht="15" hidden="false" customHeight="false" outlineLevel="0" collapsed="false">
      <c r="A41" s="5" t="s">
        <v>335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2"/>
  </cols>
  <sheetData>
    <row r="1" customFormat="false" ht="17.35" hidden="false" customHeight="false" outlineLevel="0" collapsed="false">
      <c r="A1" s="1" t="s">
        <v>336</v>
      </c>
    </row>
    <row r="2" customFormat="false" ht="15" hidden="false" customHeight="false" outlineLevel="0" collapsed="false">
      <c r="A2" s="5" t="s">
        <v>337</v>
      </c>
    </row>
    <row r="4" customFormat="false" ht="15" hidden="false" customHeight="false" outlineLevel="0" collapsed="false">
      <c r="A4" s="8" t="s">
        <v>338</v>
      </c>
      <c r="B4" s="8" t="s">
        <v>339</v>
      </c>
    </row>
    <row r="5" customFormat="false" ht="15" hidden="false" customHeight="false" outlineLevel="0" collapsed="false">
      <c r="A5" s="9" t="s">
        <v>340</v>
      </c>
      <c r="B5" s="54" t="str">
        <f aca="false">IF(ISNUMBER(MATCH(Assumptions!$B$6,Cities!$A$4:$A$9,0)),"PASS","FAIL")</f>
        <v>PASS</v>
      </c>
    </row>
    <row r="6" customFormat="false" ht="15" hidden="false" customHeight="false" outlineLevel="0" collapsed="false">
      <c r="A6" s="9" t="s">
        <v>341</v>
      </c>
      <c r="B6" s="54" t="str">
        <f aca="false">IF(CostPerKm!$D$8&lt;Assumptions!$B$22,"PASS","FAIL")</f>
        <v>PASS</v>
      </c>
    </row>
    <row r="7" customFormat="false" ht="15" hidden="false" customHeight="false" outlineLevel="0" collapsed="false">
      <c r="A7" s="9" t="s">
        <v>342</v>
      </c>
      <c r="B7" s="54" t="str">
        <f aca="false">IF(CostPerKm!$G$9&lt;CostPerKm!$G$8,"PASS","FAIL")</f>
        <v>PASS</v>
      </c>
    </row>
    <row r="8" customFormat="false" ht="15" hidden="false" customHeight="false" outlineLevel="0" collapsed="false">
      <c r="A8" s="9" t="s">
        <v>343</v>
      </c>
      <c r="B8" s="54" t="str">
        <f aca="false">IF(CostPerKm!$G$16&lt;CostPerKm!$G$15,"PASS","FAIL")</f>
        <v>PASS</v>
      </c>
    </row>
    <row r="9" customFormat="false" ht="15" hidden="false" customHeight="false" outlineLevel="0" collapsed="false">
      <c r="A9" s="9" t="s">
        <v>344</v>
      </c>
      <c r="B9" s="54" t="str">
        <f aca="false">IF(CostPerKm!$G$10&lt;CostPerKm!$G$9,"PASS","FAIL")</f>
        <v>PASS</v>
      </c>
    </row>
    <row r="10" customFormat="false" ht="15" hidden="false" customHeight="false" outlineLevel="0" collapsed="false">
      <c r="A10" s="9" t="s">
        <v>345</v>
      </c>
      <c r="B10" s="54" t="str">
        <f aca="false">IF(AND(Assumptions!$B$15&gt;=MIN(Assumptions!$B$10,Assumptions!$B$13),Assumptions!$B$15&lt;=MAX(Assumptions!$B$10,Assumptions!$B$13)),"PASS","FAIL")</f>
        <v>PASS</v>
      </c>
    </row>
    <row r="11" customFormat="false" ht="15" hidden="false" customHeight="false" outlineLevel="0" collapsed="false">
      <c r="A11" s="9" t="s">
        <v>346</v>
      </c>
      <c r="B11" s="54" t="str">
        <f aca="false">IF(AND(Assumptions!$B$14&gt;=0,Assumptions!$B$14&lt;=1),"PASS","FAIL")</f>
        <v>PASS</v>
      </c>
    </row>
    <row r="12" customFormat="false" ht="15" hidden="false" customHeight="false" outlineLevel="0" collapsed="false">
      <c r="A12" s="9" t="s">
        <v>347</v>
      </c>
      <c r="B12" s="54" t="str">
        <f aca="false">IF(Assumptions!$B$17&gt;=Assumptions!$B$16,"PASS","FAIL")</f>
        <v>PASS</v>
      </c>
    </row>
    <row r="13" customFormat="false" ht="15" hidden="false" customHeight="false" outlineLevel="0" collapsed="false">
      <c r="A13" s="9" t="s">
        <v>348</v>
      </c>
      <c r="B13" s="54" t="str">
        <f aca="false">IF(MIN(CostPerKm!G5:G100)&gt;0,"PASS","FAIL")</f>
        <v>PASS</v>
      </c>
    </row>
    <row r="14" customFormat="false" ht="15" hidden="false" customHeight="false" outlineLevel="0" collapsed="false">
      <c r="A14" s="9" t="s">
        <v>349</v>
      </c>
      <c r="B14" s="54" t="str">
        <f aca="false">IF(AND(Assumptions!$B$47&gt;Assumptions!$B$46,Assumptions!$B$46&gt;Assumptions!$B$45),"PASS","FAIL")</f>
        <v>PASS</v>
      </c>
    </row>
    <row r="15" customFormat="false" ht="15" hidden="false" customHeight="false" outlineLevel="0" collapsed="false">
      <c r="A15" s="9" t="s">
        <v>350</v>
      </c>
      <c r="B15" s="54" t="str">
        <f aca="false">IF(ABS(TCO_Scenarios!H5-(TCO_Scenarios!F5+TCO_Scenarios!G5))&lt;0.01,"PASS","FAIL")</f>
        <v>PASS</v>
      </c>
    </row>
    <row r="16" customFormat="false" ht="15" hidden="false" customHeight="false" outlineLevel="0" collapsed="false">
      <c r="A16" s="9" t="s">
        <v>351</v>
      </c>
      <c r="B16" s="54" t="str">
        <f aca="false">IF(SUMPRODUCT(--ISNUMBER(TCO_Scenarios!L5:L46),--(TCO_Scenarios!L5:L46&lt;0))=0,"PASS","FAIL")</f>
        <v>PASS</v>
      </c>
    </row>
    <row r="17" customFormat="false" ht="15" hidden="false" customHeight="false" outlineLevel="0" collapsed="false">
      <c r="A17" s="9" t="s">
        <v>352</v>
      </c>
      <c r="B17" s="54" t="str">
        <f aca="false">IF(ABS(INDEX(Cities!$H$4:$H$9,MATCH(Assumptions!$B$6,Cities!$A$4:$A$9,0))-CostPerKm!$G$8)&lt;0.2*CostPerKm!$G$8,"PASS","FAIL")</f>
        <v>PASS</v>
      </c>
    </row>
    <row r="18" customFormat="false" ht="15" hidden="false" customHeight="false" outlineLevel="0" collapsed="false">
      <c r="A18" s="9" t="s">
        <v>353</v>
      </c>
      <c r="B18" s="54" t="str">
        <f aca="false">IF(ABS(FleetSales!$B$21-1)&lt;0.005,"PASS","FAIL")</f>
        <v>PASS</v>
      </c>
    </row>
    <row r="19" customFormat="false" ht="15" hidden="false" customHeight="false" outlineLevel="0" collapsed="false">
      <c r="A19" s="9" t="s">
        <v>354</v>
      </c>
      <c r="B19" s="54" t="str">
        <f aca="false">IF(AND(FleetSales!$B$29&gt;CostPerKm!$G$10,FleetSales!$B$29&lt;CostPerKm!$G$8),"PASS","FAIL")</f>
        <v>PASS</v>
      </c>
    </row>
    <row r="20" customFormat="false" ht="15" hidden="false" customHeight="false" outlineLevel="0" collapsed="false">
      <c r="A20" s="9" t="s">
        <v>355</v>
      </c>
      <c r="B20" s="54" t="str">
        <f aca="false">IF(ABS(FleetSales!$D$44)&lt;0.05,"PASS","FAIL")</f>
        <v>PASS</v>
      </c>
    </row>
    <row r="21" customFormat="false" ht="15" hidden="false" customHeight="false" outlineLevel="0" collapsed="false">
      <c r="A21" s="9" t="s">
        <v>356</v>
      </c>
      <c r="B21" s="54" t="str">
        <f aca="false">IF(ABS(OMC_PriceBoard!$C$5-INDEX(Cities!$B$4:$B$9,MATCH("Delhi",Cities!$A$4:$A$9,0)))&lt;0.01,"PASS","FAIL")</f>
        <v>PASS</v>
      </c>
    </row>
    <row r="22" customFormat="false" ht="15" hidden="false" customHeight="false" outlineLevel="0" collapsed="false">
      <c r="A22" s="9" t="s">
        <v>357</v>
      </c>
      <c r="B22" s="54" t="str">
        <f aca="false">IF(OMC_PriceBoard!$C$21&gt;OMC_PriceBoard!$C$20,"PASS","FAIL")</f>
        <v>PASS</v>
      </c>
    </row>
    <row r="23" customFormat="false" ht="15" hidden="false" customHeight="false" outlineLevel="0" collapsed="false">
      <c r="A23" s="9" t="s">
        <v>358</v>
      </c>
      <c r="B23" s="54" t="str">
        <f aca="false">IF(ABS((ExchequerRevenue!$B$16+ExchequerRevenue!$B$17)-ExchequerRevenue!$B$18)&lt;0.001,"PASS","FAIL")</f>
        <v>PASS</v>
      </c>
    </row>
    <row r="24" customFormat="false" ht="15" hidden="false" customHeight="false" outlineLevel="0" collapsed="false">
      <c r="A24" s="9" t="s">
        <v>359</v>
      </c>
      <c r="B24" s="54" t="str">
        <f aca="false">IF(AND(ExchequerRevenue!$B$18&gt;3,ExchequerRevenue!$B$18&lt;6),"PASS","FAIL")</f>
        <v>PASS</v>
      </c>
    </row>
    <row r="25" customFormat="false" ht="15" hidden="false" customHeight="false" outlineLevel="0" collapsed="false">
      <c r="A25" s="9" t="s">
        <v>360</v>
      </c>
      <c r="B25" s="54" t="str">
        <f aca="false">IF(ExchequerRevenue!$B$34&gt;0,"PASS","FAIL")</f>
        <v>PASS</v>
      </c>
    </row>
    <row r="27" customFormat="false" ht="15" hidden="false" customHeight="false" outlineLevel="0" collapsed="false">
      <c r="A27" s="48" t="s">
        <v>361</v>
      </c>
      <c r="B27" s="48" t="str">
        <f aca="false">IF(COUNTIF(B5:B25,"FAIL")=0,"ALL PASS","REVIEW FAILS")</f>
        <v>ALL PASS</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2026-07-24T10:59:02Z</dcterms:created>
  <dc:creator>openpyxl</dc:creator>
  <dc:description/>
  <dc:language>en-US</dc:language>
  <cp:lastModifiedBy/>
  <dcterms:modified xsi:type="dcterms:W3CDTF">2026-07-24T10:59:03Z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